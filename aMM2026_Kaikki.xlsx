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xr:revisionPtr revIDLastSave="0" documentId="8_{DDE59B78-161B-4AEC-976F-D3B1919C7215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ulokset" sheetId="1" r:id="rId1"/>
    <sheet name="Pistetilanne" sheetId="2" r:id="rId2"/>
    <sheet name="Veikkaajien tilastot" sheetId="3" r:id="rId3"/>
    <sheet name="Säännöt&amp;Ohjeet" sheetId="4" r:id="rId4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90" i="1" l="1"/>
  <c r="AA90" i="1"/>
  <c r="H4" i="2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R125" i="1"/>
  <c r="AR124" i="1"/>
  <c r="AP125" i="1"/>
  <c r="AP124" i="1"/>
  <c r="AN125" i="1"/>
  <c r="AN124" i="1"/>
  <c r="AL125" i="1"/>
  <c r="AL124" i="1"/>
  <c r="AJ125" i="1"/>
  <c r="AJ124" i="1"/>
  <c r="AH125" i="1"/>
  <c r="AH124" i="1"/>
  <c r="AF125" i="1"/>
  <c r="AF124" i="1"/>
  <c r="AD125" i="1"/>
  <c r="AD124" i="1"/>
  <c r="AB125" i="1"/>
  <c r="AB124" i="1"/>
  <c r="Z125" i="1"/>
  <c r="Z124" i="1"/>
  <c r="X125" i="1"/>
  <c r="X124" i="1"/>
  <c r="V125" i="1"/>
  <c r="V124" i="1"/>
  <c r="T125" i="1"/>
  <c r="T124" i="1"/>
  <c r="R125" i="1"/>
  <c r="R124" i="1"/>
  <c r="P125" i="1"/>
  <c r="P124" i="1"/>
  <c r="N125" i="1"/>
  <c r="N124" i="1"/>
  <c r="L125" i="1"/>
  <c r="L124" i="1"/>
  <c r="J125" i="1"/>
  <c r="J124" i="1"/>
  <c r="H125" i="1"/>
  <c r="H124" i="1"/>
  <c r="F125" i="1"/>
  <c r="F124" i="1"/>
  <c r="AR122" i="1"/>
  <c r="AR121" i="1"/>
  <c r="AR120" i="1"/>
  <c r="AR119" i="1"/>
  <c r="AP122" i="1"/>
  <c r="AP121" i="1"/>
  <c r="AP120" i="1"/>
  <c r="AP119" i="1"/>
  <c r="AN122" i="1"/>
  <c r="AN121" i="1"/>
  <c r="AN120" i="1"/>
  <c r="AN119" i="1"/>
  <c r="AL122" i="1"/>
  <c r="AL121" i="1"/>
  <c r="AL120" i="1"/>
  <c r="AL119" i="1"/>
  <c r="AJ122" i="1"/>
  <c r="AJ121" i="1"/>
  <c r="AJ120" i="1"/>
  <c r="AJ119" i="1"/>
  <c r="AH122" i="1"/>
  <c r="AH121" i="1"/>
  <c r="AH120" i="1"/>
  <c r="AH119" i="1"/>
  <c r="AF122" i="1"/>
  <c r="AF121" i="1"/>
  <c r="AF120" i="1"/>
  <c r="AF119" i="1"/>
  <c r="AD122" i="1"/>
  <c r="AD121" i="1"/>
  <c r="AD120" i="1"/>
  <c r="AD119" i="1"/>
  <c r="AB122" i="1"/>
  <c r="AB121" i="1"/>
  <c r="AB120" i="1"/>
  <c r="AB119" i="1"/>
  <c r="Z122" i="1"/>
  <c r="Z121" i="1"/>
  <c r="Z120" i="1"/>
  <c r="Z119" i="1"/>
  <c r="X122" i="1"/>
  <c r="X121" i="1"/>
  <c r="X120" i="1"/>
  <c r="X119" i="1"/>
  <c r="V122" i="1"/>
  <c r="V121" i="1"/>
  <c r="V120" i="1"/>
  <c r="V119" i="1"/>
  <c r="T122" i="1"/>
  <c r="T121" i="1"/>
  <c r="T120" i="1"/>
  <c r="T119" i="1"/>
  <c r="R122" i="1"/>
  <c r="R121" i="1"/>
  <c r="R120" i="1"/>
  <c r="R119" i="1"/>
  <c r="P122" i="1"/>
  <c r="P121" i="1"/>
  <c r="P120" i="1"/>
  <c r="P119" i="1"/>
  <c r="N122" i="1"/>
  <c r="N121" i="1"/>
  <c r="N120" i="1"/>
  <c r="N119" i="1"/>
  <c r="L122" i="1"/>
  <c r="L121" i="1"/>
  <c r="L120" i="1"/>
  <c r="L119" i="1"/>
  <c r="J122" i="1"/>
  <c r="J121" i="1"/>
  <c r="J120" i="1"/>
  <c r="J119" i="1"/>
  <c r="H122" i="1"/>
  <c r="H121" i="1"/>
  <c r="H120" i="1"/>
  <c r="H119" i="1"/>
  <c r="F120" i="1"/>
  <c r="F121" i="1"/>
  <c r="F122" i="1"/>
  <c r="F119" i="1"/>
  <c r="AR117" i="1"/>
  <c r="AR116" i="1"/>
  <c r="AR115" i="1"/>
  <c r="AR114" i="1"/>
  <c r="AR113" i="1"/>
  <c r="AR112" i="1"/>
  <c r="AR111" i="1"/>
  <c r="AR110" i="1"/>
  <c r="AP117" i="1"/>
  <c r="AP116" i="1"/>
  <c r="AP115" i="1"/>
  <c r="AP114" i="1"/>
  <c r="AP113" i="1"/>
  <c r="AP112" i="1"/>
  <c r="AP111" i="1"/>
  <c r="AP110" i="1"/>
  <c r="AN117" i="1"/>
  <c r="AN116" i="1"/>
  <c r="AN115" i="1"/>
  <c r="AN114" i="1"/>
  <c r="AN113" i="1"/>
  <c r="AN112" i="1"/>
  <c r="AN111" i="1"/>
  <c r="AN110" i="1"/>
  <c r="AL117" i="1"/>
  <c r="AL116" i="1"/>
  <c r="AL115" i="1"/>
  <c r="AL114" i="1"/>
  <c r="AL113" i="1"/>
  <c r="AL112" i="1"/>
  <c r="AL111" i="1"/>
  <c r="AL110" i="1"/>
  <c r="AJ117" i="1"/>
  <c r="AJ116" i="1"/>
  <c r="AJ115" i="1"/>
  <c r="AJ114" i="1"/>
  <c r="AJ113" i="1"/>
  <c r="AJ112" i="1"/>
  <c r="AJ111" i="1"/>
  <c r="AJ110" i="1"/>
  <c r="AH117" i="1"/>
  <c r="AH116" i="1"/>
  <c r="AH115" i="1"/>
  <c r="AH114" i="1"/>
  <c r="AH113" i="1"/>
  <c r="AH112" i="1"/>
  <c r="AH111" i="1"/>
  <c r="AH110" i="1"/>
  <c r="AF117" i="1"/>
  <c r="AF116" i="1"/>
  <c r="AF115" i="1"/>
  <c r="AF114" i="1"/>
  <c r="AF113" i="1"/>
  <c r="AF112" i="1"/>
  <c r="AF111" i="1"/>
  <c r="AF110" i="1"/>
  <c r="AD117" i="1"/>
  <c r="AD116" i="1"/>
  <c r="AD115" i="1"/>
  <c r="AD114" i="1"/>
  <c r="AD113" i="1"/>
  <c r="AD112" i="1"/>
  <c r="AD111" i="1"/>
  <c r="AD110" i="1"/>
  <c r="AB117" i="1"/>
  <c r="AB116" i="1"/>
  <c r="AB115" i="1"/>
  <c r="AB114" i="1"/>
  <c r="AB113" i="1"/>
  <c r="AB112" i="1"/>
  <c r="AB111" i="1"/>
  <c r="AB110" i="1"/>
  <c r="Z117" i="1"/>
  <c r="Z116" i="1"/>
  <c r="Z115" i="1"/>
  <c r="Z114" i="1"/>
  <c r="Z113" i="1"/>
  <c r="Z112" i="1"/>
  <c r="Z111" i="1"/>
  <c r="Z110" i="1"/>
  <c r="X117" i="1"/>
  <c r="X116" i="1"/>
  <c r="X115" i="1"/>
  <c r="X114" i="1"/>
  <c r="X113" i="1"/>
  <c r="X112" i="1"/>
  <c r="X111" i="1"/>
  <c r="X110" i="1"/>
  <c r="V117" i="1"/>
  <c r="V116" i="1"/>
  <c r="V115" i="1"/>
  <c r="V114" i="1"/>
  <c r="V113" i="1"/>
  <c r="V112" i="1"/>
  <c r="V111" i="1"/>
  <c r="V110" i="1"/>
  <c r="T117" i="1"/>
  <c r="T116" i="1"/>
  <c r="T115" i="1"/>
  <c r="T114" i="1"/>
  <c r="T113" i="1"/>
  <c r="T112" i="1"/>
  <c r="T111" i="1"/>
  <c r="T110" i="1"/>
  <c r="R117" i="1"/>
  <c r="R116" i="1"/>
  <c r="R115" i="1"/>
  <c r="R114" i="1"/>
  <c r="R113" i="1"/>
  <c r="R112" i="1"/>
  <c r="R111" i="1"/>
  <c r="R110" i="1"/>
  <c r="P117" i="1"/>
  <c r="P116" i="1"/>
  <c r="P115" i="1"/>
  <c r="P114" i="1"/>
  <c r="P113" i="1"/>
  <c r="P112" i="1"/>
  <c r="P111" i="1"/>
  <c r="P110" i="1"/>
  <c r="N117" i="1"/>
  <c r="N116" i="1"/>
  <c r="N115" i="1"/>
  <c r="N114" i="1"/>
  <c r="N113" i="1"/>
  <c r="N112" i="1"/>
  <c r="N111" i="1"/>
  <c r="N110" i="1"/>
  <c r="L117" i="1"/>
  <c r="L116" i="1"/>
  <c r="L115" i="1"/>
  <c r="L114" i="1"/>
  <c r="L113" i="1"/>
  <c r="L112" i="1"/>
  <c r="L111" i="1"/>
  <c r="L110" i="1"/>
  <c r="J117" i="1"/>
  <c r="J116" i="1"/>
  <c r="J115" i="1"/>
  <c r="J114" i="1"/>
  <c r="J113" i="1"/>
  <c r="J112" i="1"/>
  <c r="J111" i="1"/>
  <c r="J110" i="1"/>
  <c r="H117" i="1"/>
  <c r="H116" i="1"/>
  <c r="H115" i="1"/>
  <c r="H114" i="1"/>
  <c r="H113" i="1"/>
  <c r="H112" i="1"/>
  <c r="H111" i="1"/>
  <c r="H110" i="1"/>
  <c r="F111" i="1"/>
  <c r="F112" i="1"/>
  <c r="F113" i="1"/>
  <c r="F114" i="1"/>
  <c r="F115" i="1"/>
  <c r="F116" i="1"/>
  <c r="F117" i="1"/>
  <c r="F110" i="1"/>
  <c r="AR108" i="1"/>
  <c r="AR107" i="1"/>
  <c r="AR106" i="1"/>
  <c r="AR105" i="1"/>
  <c r="AR104" i="1"/>
  <c r="AR103" i="1"/>
  <c r="AR102" i="1"/>
  <c r="AR101" i="1"/>
  <c r="AR100" i="1"/>
  <c r="AR99" i="1"/>
  <c r="AR98" i="1"/>
  <c r="AR97" i="1"/>
  <c r="AR96" i="1"/>
  <c r="AR95" i="1"/>
  <c r="AR94" i="1"/>
  <c r="AR93" i="1"/>
  <c r="AP108" i="1"/>
  <c r="AP107" i="1"/>
  <c r="AP106" i="1"/>
  <c r="AP105" i="1"/>
  <c r="AP104" i="1"/>
  <c r="AP103" i="1"/>
  <c r="AP102" i="1"/>
  <c r="AP101" i="1"/>
  <c r="AP100" i="1"/>
  <c r="AP99" i="1"/>
  <c r="AP98" i="1"/>
  <c r="AP97" i="1"/>
  <c r="AP96" i="1"/>
  <c r="AP95" i="1"/>
  <c r="AP94" i="1"/>
  <c r="AP93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H108" i="1"/>
  <c r="AH107" i="1"/>
  <c r="AH106" i="1"/>
  <c r="AH105" i="1"/>
  <c r="AH104" i="1"/>
  <c r="AH103" i="1"/>
  <c r="AH102" i="1"/>
  <c r="AH101" i="1"/>
  <c r="AH100" i="1"/>
  <c r="AH99" i="1"/>
  <c r="AH98" i="1"/>
  <c r="AH97" i="1"/>
  <c r="AH96" i="1"/>
  <c r="AH95" i="1"/>
  <c r="AH94" i="1"/>
  <c r="AH93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93" i="1"/>
  <c r="AQ90" i="1"/>
  <c r="AO90" i="1"/>
  <c r="AM90" i="1"/>
  <c r="AK90" i="1"/>
  <c r="AI90" i="1"/>
  <c r="AE90" i="1"/>
  <c r="AC90" i="1"/>
  <c r="Y90" i="1"/>
  <c r="W90" i="1"/>
  <c r="U90" i="1"/>
  <c r="S90" i="1"/>
  <c r="Q90" i="1"/>
  <c r="M90" i="1"/>
  <c r="K90" i="1"/>
  <c r="I90" i="1"/>
  <c r="G90" i="1"/>
  <c r="E90" i="1"/>
  <c r="O90" i="1"/>
  <c r="AR82" i="1" a="1"/>
  <c r="AP82" i="1" a="1"/>
  <c r="AN82" i="1" a="1"/>
  <c r="AL82" i="1" a="1"/>
  <c r="AJ82" i="1" a="1"/>
  <c r="AH82" i="1" a="1"/>
  <c r="AF82" i="1" a="1"/>
  <c r="AD82" i="1" a="1"/>
  <c r="AB82" i="1" a="1"/>
  <c r="Z82" i="1" a="1"/>
  <c r="X82" i="1" a="1"/>
  <c r="V82" i="1" a="1"/>
  <c r="T82" i="1" a="1"/>
  <c r="R82" i="1" a="1"/>
  <c r="P82" i="1" a="1"/>
  <c r="N82" i="1" a="1"/>
  <c r="L82" i="1" a="1"/>
  <c r="J82" i="1" a="1"/>
  <c r="H82" i="1" a="1"/>
  <c r="F82" i="1" a="1"/>
  <c r="AR75" i="1" a="1"/>
  <c r="AP75" i="1" a="1"/>
  <c r="AN75" i="1" a="1"/>
  <c r="AL75" i="1" a="1"/>
  <c r="AJ75" i="1" a="1"/>
  <c r="AH75" i="1" a="1"/>
  <c r="AF75" i="1" a="1"/>
  <c r="AD75" i="1" a="1"/>
  <c r="AB75" i="1" a="1"/>
  <c r="Z75" i="1" a="1"/>
  <c r="X75" i="1" a="1"/>
  <c r="V75" i="1" a="1"/>
  <c r="T75" i="1" a="1"/>
  <c r="R75" i="1" a="1"/>
  <c r="P75" i="1" a="1"/>
  <c r="N75" i="1" a="1"/>
  <c r="L75" i="1" a="1"/>
  <c r="J75" i="1" a="1"/>
  <c r="H75" i="1" a="1"/>
  <c r="F75" i="1" a="1"/>
  <c r="AR68" i="1" a="1"/>
  <c r="AP68" i="1" a="1"/>
  <c r="AN68" i="1" a="1"/>
  <c r="AL68" i="1" a="1"/>
  <c r="AJ68" i="1" a="1"/>
  <c r="AH68" i="1" a="1"/>
  <c r="AF68" i="1" a="1"/>
  <c r="AD68" i="1" a="1"/>
  <c r="AB68" i="1" a="1"/>
  <c r="Z68" i="1" a="1"/>
  <c r="X68" i="1" a="1"/>
  <c r="V68" i="1" a="1"/>
  <c r="T68" i="1" a="1"/>
  <c r="R68" i="1" a="1"/>
  <c r="P68" i="1" a="1"/>
  <c r="N68" i="1" a="1"/>
  <c r="L68" i="1" a="1"/>
  <c r="J68" i="1" a="1"/>
  <c r="H68" i="1" a="1"/>
  <c r="F68" i="1" a="1"/>
  <c r="AR61" i="1" a="1"/>
  <c r="AP61" i="1" a="1"/>
  <c r="AN61" i="1" a="1"/>
  <c r="AL61" i="1" a="1"/>
  <c r="AJ61" i="1" a="1"/>
  <c r="AH61" i="1" a="1"/>
  <c r="AF61" i="1" a="1"/>
  <c r="AD61" i="1" a="1"/>
  <c r="AB61" i="1" a="1"/>
  <c r="Z61" i="1" a="1"/>
  <c r="X61" i="1" a="1"/>
  <c r="V61" i="1" a="1"/>
  <c r="T61" i="1" a="1"/>
  <c r="R61" i="1" a="1"/>
  <c r="P61" i="1" a="1"/>
  <c r="N61" i="1" a="1"/>
  <c r="L61" i="1" a="1"/>
  <c r="J61" i="1" a="1"/>
  <c r="H61" i="1" a="1"/>
  <c r="F61" i="1" a="1"/>
  <c r="AR54" i="1" a="1"/>
  <c r="AP54" i="1" a="1"/>
  <c r="AN54" i="1" a="1"/>
  <c r="AL54" i="1" a="1"/>
  <c r="AJ54" i="1" a="1"/>
  <c r="AH54" i="1" a="1"/>
  <c r="AF54" i="1" a="1"/>
  <c r="AD54" i="1" a="1"/>
  <c r="AB54" i="1" a="1"/>
  <c r="Z54" i="1" a="1"/>
  <c r="X54" i="1" a="1"/>
  <c r="V54" i="1" a="1"/>
  <c r="T54" i="1" a="1"/>
  <c r="R54" i="1" a="1"/>
  <c r="P54" i="1" a="1"/>
  <c r="N54" i="1" a="1"/>
  <c r="L54" i="1" a="1"/>
  <c r="J54" i="1" a="1"/>
  <c r="H54" i="1" a="1"/>
  <c r="F54" i="1" a="1"/>
  <c r="AR47" i="1" a="1"/>
  <c r="AP47" i="1" a="1"/>
  <c r="AN47" i="1" a="1"/>
  <c r="AL47" i="1" a="1"/>
  <c r="AJ47" i="1" a="1"/>
  <c r="AH47" i="1" a="1"/>
  <c r="AF47" i="1" a="1"/>
  <c r="AD47" i="1" a="1"/>
  <c r="AB47" i="1" a="1"/>
  <c r="Z47" i="1" a="1"/>
  <c r="X47" i="1" a="1"/>
  <c r="V47" i="1" a="1"/>
  <c r="T47" i="1" a="1"/>
  <c r="R47" i="1" a="1"/>
  <c r="P47" i="1" a="1"/>
  <c r="N47" i="1" a="1"/>
  <c r="L47" i="1" a="1"/>
  <c r="J47" i="1" a="1"/>
  <c r="H47" i="1" a="1"/>
  <c r="F47" i="1" a="1"/>
  <c r="F22" i="4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Q128" i="1"/>
  <c r="AO128" i="1"/>
  <c r="AM128" i="1"/>
  <c r="AK128" i="1"/>
  <c r="AI128" i="1"/>
  <c r="AG128" i="1"/>
  <c r="AE128" i="1"/>
  <c r="AC128" i="1"/>
  <c r="AA128" i="1"/>
  <c r="Y128" i="1"/>
  <c r="W128" i="1"/>
  <c r="U128" i="1"/>
  <c r="S128" i="1"/>
  <c r="Q128" i="1"/>
  <c r="O128" i="1"/>
  <c r="M128" i="1"/>
  <c r="K128" i="1"/>
  <c r="I128" i="1"/>
  <c r="G128" i="1"/>
  <c r="E128" i="1"/>
  <c r="AR6" i="1" a="1"/>
  <c r="AR6" i="1"/>
  <c r="AP6" i="1" a="1"/>
  <c r="AP6" i="1"/>
  <c r="AN6" i="1" a="1"/>
  <c r="AN6" i="1"/>
  <c r="AL6" i="1" a="1"/>
  <c r="AL6" i="1"/>
  <c r="AJ6" i="1" a="1"/>
  <c r="AJ6" i="1"/>
  <c r="AH6" i="1" a="1"/>
  <c r="AH6" i="1"/>
  <c r="AF6" i="1" a="1"/>
  <c r="AF6" i="1"/>
  <c r="AD6" i="1" a="1"/>
  <c r="AD6" i="1"/>
  <c r="AB6" i="1" a="1"/>
  <c r="AB6" i="1"/>
  <c r="Z6" i="1" a="1"/>
  <c r="Z6" i="1"/>
  <c r="X6" i="1" a="1"/>
  <c r="X6" i="1"/>
  <c r="V6" i="1" a="1"/>
  <c r="V6" i="1"/>
  <c r="T6" i="1" a="1"/>
  <c r="T6" i="1"/>
  <c r="R6" i="1" a="1"/>
  <c r="R6" i="1"/>
  <c r="P6" i="1" a="1"/>
  <c r="P6" i="1"/>
  <c r="N6" i="1" a="1"/>
  <c r="N6" i="1"/>
  <c r="L6" i="1" a="1"/>
  <c r="L6" i="1"/>
  <c r="J6" i="1" a="1"/>
  <c r="J6" i="1"/>
  <c r="H6" i="1" a="1"/>
  <c r="H6" i="1"/>
  <c r="F6" i="1" a="1"/>
  <c r="F6" i="1"/>
  <c r="F88" i="1" l="1"/>
  <c r="F87" i="1"/>
  <c r="F86" i="1"/>
  <c r="F85" i="1"/>
  <c r="F84" i="1"/>
  <c r="F83" i="1"/>
  <c r="F82" i="1"/>
  <c r="H88" i="1"/>
  <c r="H87" i="1"/>
  <c r="H86" i="1"/>
  <c r="H85" i="1"/>
  <c r="H84" i="1"/>
  <c r="H83" i="1"/>
  <c r="H82" i="1"/>
  <c r="J88" i="1"/>
  <c r="J87" i="1"/>
  <c r="J86" i="1"/>
  <c r="J85" i="1"/>
  <c r="J84" i="1"/>
  <c r="J83" i="1"/>
  <c r="J82" i="1"/>
  <c r="L88" i="1"/>
  <c r="L87" i="1"/>
  <c r="L86" i="1"/>
  <c r="L85" i="1"/>
  <c r="L84" i="1"/>
  <c r="L83" i="1"/>
  <c r="L82" i="1"/>
  <c r="N88" i="1"/>
  <c r="N87" i="1"/>
  <c r="N86" i="1"/>
  <c r="N85" i="1"/>
  <c r="N84" i="1"/>
  <c r="N83" i="1"/>
  <c r="N82" i="1"/>
  <c r="P88" i="1"/>
  <c r="P87" i="1"/>
  <c r="P86" i="1"/>
  <c r="P85" i="1"/>
  <c r="P84" i="1"/>
  <c r="P83" i="1"/>
  <c r="P82" i="1"/>
  <c r="R88" i="1"/>
  <c r="R87" i="1"/>
  <c r="R86" i="1"/>
  <c r="R85" i="1"/>
  <c r="R84" i="1"/>
  <c r="R83" i="1"/>
  <c r="R82" i="1"/>
  <c r="T88" i="1"/>
  <c r="T87" i="1"/>
  <c r="T86" i="1"/>
  <c r="T85" i="1"/>
  <c r="T84" i="1"/>
  <c r="T83" i="1"/>
  <c r="T82" i="1"/>
  <c r="V88" i="1"/>
  <c r="V87" i="1"/>
  <c r="V86" i="1"/>
  <c r="V85" i="1"/>
  <c r="V84" i="1"/>
  <c r="V83" i="1"/>
  <c r="V82" i="1"/>
  <c r="X88" i="1"/>
  <c r="X87" i="1"/>
  <c r="X86" i="1"/>
  <c r="X85" i="1"/>
  <c r="X84" i="1"/>
  <c r="X83" i="1"/>
  <c r="X82" i="1"/>
  <c r="Z88" i="1"/>
  <c r="Z87" i="1"/>
  <c r="Z86" i="1"/>
  <c r="Z85" i="1"/>
  <c r="Z84" i="1"/>
  <c r="Z83" i="1"/>
  <c r="Z82" i="1"/>
  <c r="AB88" i="1"/>
  <c r="AB87" i="1"/>
  <c r="AB86" i="1"/>
  <c r="AB85" i="1"/>
  <c r="AB84" i="1"/>
  <c r="AB83" i="1"/>
  <c r="AB82" i="1"/>
  <c r="AD88" i="1"/>
  <c r="AD87" i="1"/>
  <c r="AD86" i="1"/>
  <c r="AD85" i="1"/>
  <c r="AD84" i="1"/>
  <c r="AD83" i="1"/>
  <c r="AD82" i="1"/>
  <c r="AF88" i="1"/>
  <c r="AF87" i="1"/>
  <c r="AF86" i="1"/>
  <c r="AF85" i="1"/>
  <c r="AF84" i="1"/>
  <c r="AF83" i="1"/>
  <c r="AF82" i="1"/>
  <c r="AH88" i="1"/>
  <c r="AH87" i="1"/>
  <c r="AH86" i="1"/>
  <c r="AH85" i="1"/>
  <c r="AH84" i="1"/>
  <c r="AH83" i="1"/>
  <c r="AH82" i="1"/>
  <c r="AJ88" i="1"/>
  <c r="AJ87" i="1"/>
  <c r="AJ86" i="1"/>
  <c r="AJ85" i="1"/>
  <c r="AJ84" i="1"/>
  <c r="AJ83" i="1"/>
  <c r="AJ82" i="1"/>
  <c r="AL88" i="1"/>
  <c r="AL87" i="1"/>
  <c r="AL86" i="1"/>
  <c r="AL85" i="1"/>
  <c r="AL84" i="1"/>
  <c r="AL83" i="1"/>
  <c r="AL82" i="1"/>
  <c r="AN88" i="1"/>
  <c r="AN87" i="1"/>
  <c r="AN86" i="1"/>
  <c r="AN85" i="1"/>
  <c r="AN84" i="1"/>
  <c r="AN83" i="1"/>
  <c r="AN82" i="1"/>
  <c r="AP88" i="1"/>
  <c r="AP87" i="1"/>
  <c r="AP86" i="1"/>
  <c r="AP85" i="1"/>
  <c r="AP84" i="1"/>
  <c r="AP83" i="1"/>
  <c r="AP82" i="1"/>
  <c r="AR88" i="1"/>
  <c r="AR87" i="1"/>
  <c r="AR86" i="1"/>
  <c r="AR85" i="1"/>
  <c r="AR84" i="1"/>
  <c r="AR83" i="1"/>
  <c r="AR82" i="1"/>
  <c r="F81" i="1"/>
  <c r="F80" i="1"/>
  <c r="F79" i="1"/>
  <c r="F78" i="1"/>
  <c r="F77" i="1"/>
  <c r="F76" i="1"/>
  <c r="F75" i="1"/>
  <c r="H81" i="1"/>
  <c r="H80" i="1"/>
  <c r="H79" i="1"/>
  <c r="H78" i="1"/>
  <c r="H77" i="1"/>
  <c r="H76" i="1"/>
  <c r="H75" i="1"/>
  <c r="J81" i="1"/>
  <c r="J80" i="1"/>
  <c r="J79" i="1"/>
  <c r="J78" i="1"/>
  <c r="J77" i="1"/>
  <c r="J76" i="1"/>
  <c r="J75" i="1"/>
  <c r="L81" i="1"/>
  <c r="L80" i="1"/>
  <c r="L79" i="1"/>
  <c r="L78" i="1"/>
  <c r="L77" i="1"/>
  <c r="L76" i="1"/>
  <c r="L75" i="1"/>
  <c r="N81" i="1"/>
  <c r="N80" i="1"/>
  <c r="N79" i="1"/>
  <c r="N78" i="1"/>
  <c r="N77" i="1"/>
  <c r="N76" i="1"/>
  <c r="N75" i="1"/>
  <c r="P81" i="1"/>
  <c r="P80" i="1"/>
  <c r="P79" i="1"/>
  <c r="P78" i="1"/>
  <c r="P77" i="1"/>
  <c r="P76" i="1"/>
  <c r="P75" i="1"/>
  <c r="R81" i="1"/>
  <c r="R80" i="1"/>
  <c r="R79" i="1"/>
  <c r="R78" i="1"/>
  <c r="R77" i="1"/>
  <c r="R76" i="1"/>
  <c r="R75" i="1"/>
  <c r="T81" i="1"/>
  <c r="T80" i="1"/>
  <c r="T79" i="1"/>
  <c r="T78" i="1"/>
  <c r="T77" i="1"/>
  <c r="T76" i="1"/>
  <c r="T75" i="1"/>
  <c r="V81" i="1"/>
  <c r="V80" i="1"/>
  <c r="V79" i="1"/>
  <c r="V78" i="1"/>
  <c r="V77" i="1"/>
  <c r="V76" i="1"/>
  <c r="V75" i="1"/>
  <c r="X81" i="1"/>
  <c r="X80" i="1"/>
  <c r="X79" i="1"/>
  <c r="X78" i="1"/>
  <c r="X77" i="1"/>
  <c r="X76" i="1"/>
  <c r="X75" i="1"/>
  <c r="Z81" i="1"/>
  <c r="Z80" i="1"/>
  <c r="Z79" i="1"/>
  <c r="Z78" i="1"/>
  <c r="Z77" i="1"/>
  <c r="Z76" i="1"/>
  <c r="Z75" i="1"/>
  <c r="AB81" i="1"/>
  <c r="AB80" i="1"/>
  <c r="AB79" i="1"/>
  <c r="AB78" i="1"/>
  <c r="AB77" i="1"/>
  <c r="AB76" i="1"/>
  <c r="AB75" i="1"/>
  <c r="AD81" i="1"/>
  <c r="AD80" i="1"/>
  <c r="AD79" i="1"/>
  <c r="AD78" i="1"/>
  <c r="AD77" i="1"/>
  <c r="AD76" i="1"/>
  <c r="AD75" i="1"/>
  <c r="AF81" i="1"/>
  <c r="AF80" i="1"/>
  <c r="AF79" i="1"/>
  <c r="AF78" i="1"/>
  <c r="AF77" i="1"/>
  <c r="AF76" i="1"/>
  <c r="AF75" i="1"/>
  <c r="AH81" i="1"/>
  <c r="AH80" i="1"/>
  <c r="AH79" i="1"/>
  <c r="AH78" i="1"/>
  <c r="AH77" i="1"/>
  <c r="AH76" i="1"/>
  <c r="AH75" i="1"/>
  <c r="AJ81" i="1"/>
  <c r="AJ80" i="1"/>
  <c r="AJ79" i="1"/>
  <c r="AJ78" i="1"/>
  <c r="AJ77" i="1"/>
  <c r="AJ76" i="1"/>
  <c r="AJ75" i="1"/>
  <c r="AL81" i="1"/>
  <c r="AL80" i="1"/>
  <c r="AL79" i="1"/>
  <c r="AL78" i="1"/>
  <c r="AL77" i="1"/>
  <c r="AL76" i="1"/>
  <c r="AL75" i="1"/>
  <c r="AN81" i="1"/>
  <c r="AN80" i="1"/>
  <c r="AN79" i="1"/>
  <c r="AN78" i="1"/>
  <c r="AN77" i="1"/>
  <c r="AN76" i="1"/>
  <c r="AN75" i="1"/>
  <c r="AP81" i="1"/>
  <c r="AP80" i="1"/>
  <c r="AP79" i="1"/>
  <c r="AP78" i="1"/>
  <c r="AP77" i="1"/>
  <c r="AP76" i="1"/>
  <c r="AP75" i="1"/>
  <c r="AR81" i="1"/>
  <c r="AR80" i="1"/>
  <c r="AR79" i="1"/>
  <c r="AR78" i="1"/>
  <c r="AR77" i="1"/>
  <c r="AR76" i="1"/>
  <c r="AR75" i="1"/>
  <c r="F74" i="1"/>
  <c r="F73" i="1"/>
  <c r="F72" i="1"/>
  <c r="F71" i="1"/>
  <c r="F70" i="1"/>
  <c r="F69" i="1"/>
  <c r="F68" i="1"/>
  <c r="H74" i="1"/>
  <c r="H73" i="1"/>
  <c r="H72" i="1"/>
  <c r="H71" i="1"/>
  <c r="H70" i="1"/>
  <c r="H69" i="1"/>
  <c r="H68" i="1"/>
  <c r="J74" i="1"/>
  <c r="J73" i="1"/>
  <c r="J72" i="1"/>
  <c r="J71" i="1"/>
  <c r="J70" i="1"/>
  <c r="J69" i="1"/>
  <c r="J68" i="1"/>
  <c r="L74" i="1"/>
  <c r="L73" i="1"/>
  <c r="L72" i="1"/>
  <c r="L71" i="1"/>
  <c r="L70" i="1"/>
  <c r="L69" i="1"/>
  <c r="L68" i="1"/>
  <c r="N74" i="1"/>
  <c r="N73" i="1"/>
  <c r="N72" i="1"/>
  <c r="N71" i="1"/>
  <c r="N70" i="1"/>
  <c r="N69" i="1"/>
  <c r="N68" i="1"/>
  <c r="P74" i="1"/>
  <c r="P73" i="1"/>
  <c r="P72" i="1"/>
  <c r="P71" i="1"/>
  <c r="P70" i="1"/>
  <c r="P69" i="1"/>
  <c r="P68" i="1"/>
  <c r="R74" i="1"/>
  <c r="R73" i="1"/>
  <c r="R72" i="1"/>
  <c r="R71" i="1"/>
  <c r="R70" i="1"/>
  <c r="R69" i="1"/>
  <c r="R68" i="1"/>
  <c r="T74" i="1"/>
  <c r="T73" i="1"/>
  <c r="T72" i="1"/>
  <c r="T71" i="1"/>
  <c r="T70" i="1"/>
  <c r="T69" i="1"/>
  <c r="T68" i="1"/>
  <c r="V74" i="1"/>
  <c r="V73" i="1"/>
  <c r="V72" i="1"/>
  <c r="V71" i="1"/>
  <c r="V70" i="1"/>
  <c r="V69" i="1"/>
  <c r="V68" i="1"/>
  <c r="X74" i="1"/>
  <c r="X73" i="1"/>
  <c r="X72" i="1"/>
  <c r="X71" i="1"/>
  <c r="X70" i="1"/>
  <c r="X69" i="1"/>
  <c r="X68" i="1"/>
  <c r="Z74" i="1"/>
  <c r="Z73" i="1"/>
  <c r="Z72" i="1"/>
  <c r="Z71" i="1"/>
  <c r="Z70" i="1"/>
  <c r="Z69" i="1"/>
  <c r="Z68" i="1"/>
  <c r="AB74" i="1"/>
  <c r="AB73" i="1"/>
  <c r="AB72" i="1"/>
  <c r="AB71" i="1"/>
  <c r="AB70" i="1"/>
  <c r="AB69" i="1"/>
  <c r="AB68" i="1"/>
  <c r="AD74" i="1"/>
  <c r="AD73" i="1"/>
  <c r="AD72" i="1"/>
  <c r="AD71" i="1"/>
  <c r="AD70" i="1"/>
  <c r="AD69" i="1"/>
  <c r="AD68" i="1"/>
  <c r="AF74" i="1"/>
  <c r="AF73" i="1"/>
  <c r="AF72" i="1"/>
  <c r="AF71" i="1"/>
  <c r="AF70" i="1"/>
  <c r="AF69" i="1"/>
  <c r="AF68" i="1"/>
  <c r="AH74" i="1"/>
  <c r="AH73" i="1"/>
  <c r="AH72" i="1"/>
  <c r="AH71" i="1"/>
  <c r="AH70" i="1"/>
  <c r="AH69" i="1"/>
  <c r="AH68" i="1"/>
  <c r="AJ74" i="1"/>
  <c r="AJ73" i="1"/>
  <c r="AJ72" i="1"/>
  <c r="AJ71" i="1"/>
  <c r="AJ70" i="1"/>
  <c r="AJ69" i="1"/>
  <c r="AJ68" i="1"/>
  <c r="AL74" i="1"/>
  <c r="AL73" i="1"/>
  <c r="AL72" i="1"/>
  <c r="AL71" i="1"/>
  <c r="AL70" i="1"/>
  <c r="AL69" i="1"/>
  <c r="AL68" i="1"/>
  <c r="AN74" i="1"/>
  <c r="AN73" i="1"/>
  <c r="AN72" i="1"/>
  <c r="AN71" i="1"/>
  <c r="AN70" i="1"/>
  <c r="AN69" i="1"/>
  <c r="AN68" i="1"/>
  <c r="AP74" i="1"/>
  <c r="AP73" i="1"/>
  <c r="AP72" i="1"/>
  <c r="AP71" i="1"/>
  <c r="AP70" i="1"/>
  <c r="AP69" i="1"/>
  <c r="AP68" i="1"/>
  <c r="AR74" i="1"/>
  <c r="AR73" i="1"/>
  <c r="AR72" i="1"/>
  <c r="AR71" i="1"/>
  <c r="AR70" i="1"/>
  <c r="AR69" i="1"/>
  <c r="AR68" i="1"/>
  <c r="F67" i="1"/>
  <c r="F66" i="1"/>
  <c r="F65" i="1"/>
  <c r="F64" i="1"/>
  <c r="F63" i="1"/>
  <c r="F62" i="1"/>
  <c r="F61" i="1"/>
  <c r="H67" i="1"/>
  <c r="H66" i="1"/>
  <c r="H65" i="1"/>
  <c r="H64" i="1"/>
  <c r="H63" i="1"/>
  <c r="H62" i="1"/>
  <c r="H61" i="1"/>
  <c r="J67" i="1"/>
  <c r="J66" i="1"/>
  <c r="J65" i="1"/>
  <c r="J64" i="1"/>
  <c r="J63" i="1"/>
  <c r="J62" i="1"/>
  <c r="J61" i="1"/>
  <c r="L67" i="1"/>
  <c r="L66" i="1"/>
  <c r="L65" i="1"/>
  <c r="L64" i="1"/>
  <c r="L63" i="1"/>
  <c r="L62" i="1"/>
  <c r="L61" i="1"/>
  <c r="N67" i="1"/>
  <c r="N66" i="1"/>
  <c r="N65" i="1"/>
  <c r="N64" i="1"/>
  <c r="N63" i="1"/>
  <c r="N62" i="1"/>
  <c r="N61" i="1"/>
  <c r="P67" i="1"/>
  <c r="P66" i="1"/>
  <c r="P65" i="1"/>
  <c r="P64" i="1"/>
  <c r="P63" i="1"/>
  <c r="P62" i="1"/>
  <c r="P61" i="1"/>
  <c r="R67" i="1"/>
  <c r="R66" i="1"/>
  <c r="R65" i="1"/>
  <c r="R64" i="1"/>
  <c r="R63" i="1"/>
  <c r="R62" i="1"/>
  <c r="R61" i="1"/>
  <c r="T67" i="1"/>
  <c r="T66" i="1"/>
  <c r="T65" i="1"/>
  <c r="T64" i="1"/>
  <c r="T63" i="1"/>
  <c r="T62" i="1"/>
  <c r="T61" i="1"/>
  <c r="V67" i="1"/>
  <c r="V66" i="1"/>
  <c r="V65" i="1"/>
  <c r="V64" i="1"/>
  <c r="V63" i="1"/>
  <c r="V62" i="1"/>
  <c r="V61" i="1"/>
  <c r="X67" i="1"/>
  <c r="X66" i="1"/>
  <c r="X65" i="1"/>
  <c r="X64" i="1"/>
  <c r="X63" i="1"/>
  <c r="X62" i="1"/>
  <c r="X61" i="1"/>
  <c r="Z67" i="1"/>
  <c r="Z66" i="1"/>
  <c r="Z65" i="1"/>
  <c r="Z64" i="1"/>
  <c r="Z63" i="1"/>
  <c r="Z62" i="1"/>
  <c r="Z61" i="1"/>
  <c r="AB67" i="1"/>
  <c r="AB66" i="1"/>
  <c r="AB65" i="1"/>
  <c r="AB64" i="1"/>
  <c r="AB63" i="1"/>
  <c r="AB62" i="1"/>
  <c r="AB61" i="1"/>
  <c r="AD67" i="1"/>
  <c r="AD66" i="1"/>
  <c r="AD65" i="1"/>
  <c r="AD64" i="1"/>
  <c r="AD63" i="1"/>
  <c r="AD62" i="1"/>
  <c r="AD61" i="1"/>
  <c r="AF67" i="1"/>
  <c r="AF66" i="1"/>
  <c r="AF65" i="1"/>
  <c r="AF64" i="1"/>
  <c r="AF63" i="1"/>
  <c r="AF62" i="1"/>
  <c r="AF61" i="1"/>
  <c r="AH67" i="1"/>
  <c r="AH66" i="1"/>
  <c r="AH65" i="1"/>
  <c r="AH64" i="1"/>
  <c r="AH63" i="1"/>
  <c r="AH62" i="1"/>
  <c r="AH61" i="1"/>
  <c r="AJ67" i="1"/>
  <c r="AJ66" i="1"/>
  <c r="AJ65" i="1"/>
  <c r="AJ64" i="1"/>
  <c r="AJ63" i="1"/>
  <c r="AJ62" i="1"/>
  <c r="AJ61" i="1"/>
  <c r="AL67" i="1"/>
  <c r="AL66" i="1"/>
  <c r="AL65" i="1"/>
  <c r="AL64" i="1"/>
  <c r="AL63" i="1"/>
  <c r="AL62" i="1"/>
  <c r="AL61" i="1"/>
  <c r="AN67" i="1"/>
  <c r="AN66" i="1"/>
  <c r="AN65" i="1"/>
  <c r="AN64" i="1"/>
  <c r="AN63" i="1"/>
  <c r="AN62" i="1"/>
  <c r="AN61" i="1"/>
  <c r="AP67" i="1"/>
  <c r="AP66" i="1"/>
  <c r="AP65" i="1"/>
  <c r="AP64" i="1"/>
  <c r="AP63" i="1"/>
  <c r="AP62" i="1"/>
  <c r="AP61" i="1"/>
  <c r="AR67" i="1"/>
  <c r="AR66" i="1"/>
  <c r="AR65" i="1"/>
  <c r="AR64" i="1"/>
  <c r="AR63" i="1"/>
  <c r="AR62" i="1"/>
  <c r="AR61" i="1"/>
  <c r="F60" i="1"/>
  <c r="F59" i="1"/>
  <c r="F58" i="1"/>
  <c r="F57" i="1"/>
  <c r="F56" i="1"/>
  <c r="F55" i="1"/>
  <c r="F54" i="1"/>
  <c r="H60" i="1"/>
  <c r="H59" i="1"/>
  <c r="H58" i="1"/>
  <c r="H57" i="1"/>
  <c r="H56" i="1"/>
  <c r="H55" i="1"/>
  <c r="H54" i="1"/>
  <c r="J60" i="1"/>
  <c r="J59" i="1"/>
  <c r="J58" i="1"/>
  <c r="J57" i="1"/>
  <c r="J56" i="1"/>
  <c r="J55" i="1"/>
  <c r="J54" i="1"/>
  <c r="L60" i="1"/>
  <c r="L59" i="1"/>
  <c r="L58" i="1"/>
  <c r="L57" i="1"/>
  <c r="L56" i="1"/>
  <c r="L55" i="1"/>
  <c r="L54" i="1"/>
  <c r="N60" i="1"/>
  <c r="N59" i="1"/>
  <c r="N58" i="1"/>
  <c r="N57" i="1"/>
  <c r="N56" i="1"/>
  <c r="N55" i="1"/>
  <c r="N54" i="1"/>
  <c r="P60" i="1"/>
  <c r="P59" i="1"/>
  <c r="P58" i="1"/>
  <c r="P57" i="1"/>
  <c r="P56" i="1"/>
  <c r="P55" i="1"/>
  <c r="P54" i="1"/>
  <c r="R60" i="1"/>
  <c r="R59" i="1"/>
  <c r="R58" i="1"/>
  <c r="R57" i="1"/>
  <c r="R56" i="1"/>
  <c r="R55" i="1"/>
  <c r="R54" i="1"/>
  <c r="T60" i="1"/>
  <c r="T59" i="1"/>
  <c r="T58" i="1"/>
  <c r="T57" i="1"/>
  <c r="T56" i="1"/>
  <c r="T55" i="1"/>
  <c r="T54" i="1"/>
  <c r="V60" i="1"/>
  <c r="V59" i="1"/>
  <c r="V58" i="1"/>
  <c r="V57" i="1"/>
  <c r="V56" i="1"/>
  <c r="V55" i="1"/>
  <c r="V54" i="1"/>
  <c r="X60" i="1"/>
  <c r="X59" i="1"/>
  <c r="X58" i="1"/>
  <c r="X57" i="1"/>
  <c r="X56" i="1"/>
  <c r="X55" i="1"/>
  <c r="X54" i="1"/>
  <c r="Z60" i="1"/>
  <c r="Z59" i="1"/>
  <c r="Z58" i="1"/>
  <c r="Z57" i="1"/>
  <c r="Z56" i="1"/>
  <c r="Z55" i="1"/>
  <c r="Z54" i="1"/>
  <c r="AB60" i="1"/>
  <c r="AB59" i="1"/>
  <c r="AB58" i="1"/>
  <c r="AB57" i="1"/>
  <c r="AB56" i="1"/>
  <c r="AB55" i="1"/>
  <c r="AB54" i="1"/>
  <c r="AD60" i="1"/>
  <c r="AD59" i="1"/>
  <c r="AD58" i="1"/>
  <c r="AD57" i="1"/>
  <c r="AD56" i="1"/>
  <c r="AD55" i="1"/>
  <c r="AD54" i="1"/>
  <c r="AF60" i="1"/>
  <c r="AF59" i="1"/>
  <c r="AF58" i="1"/>
  <c r="AF57" i="1"/>
  <c r="AF56" i="1"/>
  <c r="AF55" i="1"/>
  <c r="AF54" i="1"/>
  <c r="AH60" i="1"/>
  <c r="AH59" i="1"/>
  <c r="AH58" i="1"/>
  <c r="AH57" i="1"/>
  <c r="AH56" i="1"/>
  <c r="AH55" i="1"/>
  <c r="AH54" i="1"/>
  <c r="AJ60" i="1"/>
  <c r="AJ59" i="1"/>
  <c r="AJ58" i="1"/>
  <c r="AJ57" i="1"/>
  <c r="AJ56" i="1"/>
  <c r="AJ55" i="1"/>
  <c r="AJ54" i="1"/>
  <c r="AL60" i="1"/>
  <c r="AL59" i="1"/>
  <c r="AL58" i="1"/>
  <c r="AL57" i="1"/>
  <c r="AL56" i="1"/>
  <c r="AL55" i="1"/>
  <c r="AL54" i="1"/>
  <c r="AN60" i="1"/>
  <c r="AN59" i="1"/>
  <c r="AN58" i="1"/>
  <c r="AN57" i="1"/>
  <c r="AN56" i="1"/>
  <c r="AN55" i="1"/>
  <c r="AN54" i="1"/>
  <c r="AP60" i="1"/>
  <c r="AP59" i="1"/>
  <c r="AP58" i="1"/>
  <c r="AP57" i="1"/>
  <c r="AP56" i="1"/>
  <c r="AP55" i="1"/>
  <c r="AP54" i="1"/>
  <c r="AR60" i="1"/>
  <c r="AR59" i="1"/>
  <c r="AR58" i="1"/>
  <c r="AR57" i="1"/>
  <c r="AR56" i="1"/>
  <c r="AR55" i="1"/>
  <c r="AR54" i="1"/>
  <c r="F53" i="1"/>
  <c r="F52" i="1"/>
  <c r="F51" i="1"/>
  <c r="F50" i="1"/>
  <c r="F49" i="1"/>
  <c r="F48" i="1"/>
  <c r="F47" i="1"/>
  <c r="H53" i="1"/>
  <c r="H52" i="1"/>
  <c r="H51" i="1"/>
  <c r="H50" i="1"/>
  <c r="H49" i="1"/>
  <c r="H48" i="1"/>
  <c r="H47" i="1"/>
  <c r="J53" i="1"/>
  <c r="J52" i="1"/>
  <c r="J51" i="1"/>
  <c r="J50" i="1"/>
  <c r="J49" i="1"/>
  <c r="J48" i="1"/>
  <c r="J47" i="1"/>
  <c r="L53" i="1"/>
  <c r="L52" i="1"/>
  <c r="L51" i="1"/>
  <c r="L50" i="1"/>
  <c r="L49" i="1"/>
  <c r="L48" i="1"/>
  <c r="L47" i="1"/>
  <c r="N53" i="1"/>
  <c r="N52" i="1"/>
  <c r="N51" i="1"/>
  <c r="N50" i="1"/>
  <c r="N49" i="1"/>
  <c r="N48" i="1"/>
  <c r="N47" i="1"/>
  <c r="P53" i="1"/>
  <c r="P52" i="1"/>
  <c r="P51" i="1"/>
  <c r="P50" i="1"/>
  <c r="P49" i="1"/>
  <c r="P48" i="1"/>
  <c r="P47" i="1"/>
  <c r="R53" i="1"/>
  <c r="R52" i="1"/>
  <c r="R51" i="1"/>
  <c r="R50" i="1"/>
  <c r="R49" i="1"/>
  <c r="R48" i="1"/>
  <c r="R47" i="1"/>
  <c r="T53" i="1"/>
  <c r="T52" i="1"/>
  <c r="T51" i="1"/>
  <c r="T50" i="1"/>
  <c r="T49" i="1"/>
  <c r="T48" i="1"/>
  <c r="T47" i="1"/>
  <c r="V53" i="1"/>
  <c r="V52" i="1"/>
  <c r="V51" i="1"/>
  <c r="V50" i="1"/>
  <c r="V49" i="1"/>
  <c r="V48" i="1"/>
  <c r="V47" i="1"/>
  <c r="X53" i="1"/>
  <c r="X52" i="1"/>
  <c r="X51" i="1"/>
  <c r="X50" i="1"/>
  <c r="X49" i="1"/>
  <c r="X48" i="1"/>
  <c r="X47" i="1"/>
  <c r="Z53" i="1"/>
  <c r="Z52" i="1"/>
  <c r="Z51" i="1"/>
  <c r="Z50" i="1"/>
  <c r="Z49" i="1"/>
  <c r="Z48" i="1"/>
  <c r="Z47" i="1"/>
  <c r="AB53" i="1"/>
  <c r="AB52" i="1"/>
  <c r="AB51" i="1"/>
  <c r="AB50" i="1"/>
  <c r="AB49" i="1"/>
  <c r="AB48" i="1"/>
  <c r="AB47" i="1"/>
  <c r="AD53" i="1"/>
  <c r="AD52" i="1"/>
  <c r="AD51" i="1"/>
  <c r="AD50" i="1"/>
  <c r="AD49" i="1"/>
  <c r="AD48" i="1"/>
  <c r="AD47" i="1"/>
  <c r="AF53" i="1"/>
  <c r="AF52" i="1"/>
  <c r="AF51" i="1"/>
  <c r="AF50" i="1"/>
  <c r="AF49" i="1"/>
  <c r="AF48" i="1"/>
  <c r="AF47" i="1"/>
  <c r="AH53" i="1"/>
  <c r="AH52" i="1"/>
  <c r="AH51" i="1"/>
  <c r="AH50" i="1"/>
  <c r="AH49" i="1"/>
  <c r="AH48" i="1"/>
  <c r="AH47" i="1"/>
  <c r="AJ53" i="1"/>
  <c r="AJ52" i="1"/>
  <c r="AJ51" i="1"/>
  <c r="AJ50" i="1"/>
  <c r="AJ49" i="1"/>
  <c r="AJ48" i="1"/>
  <c r="AJ47" i="1"/>
  <c r="AL53" i="1"/>
  <c r="AL52" i="1"/>
  <c r="AL51" i="1"/>
  <c r="AL50" i="1"/>
  <c r="AL49" i="1"/>
  <c r="AL48" i="1"/>
  <c r="AL47" i="1"/>
  <c r="AN53" i="1"/>
  <c r="AN52" i="1"/>
  <c r="AN51" i="1"/>
  <c r="AN50" i="1"/>
  <c r="AN49" i="1"/>
  <c r="AN48" i="1"/>
  <c r="AN47" i="1"/>
  <c r="AP53" i="1"/>
  <c r="AP52" i="1"/>
  <c r="AP51" i="1"/>
  <c r="AP50" i="1"/>
  <c r="AP49" i="1"/>
  <c r="AP48" i="1"/>
  <c r="AP47" i="1"/>
  <c r="AR53" i="1"/>
  <c r="AR52" i="1"/>
  <c r="AR51" i="1"/>
  <c r="AR50" i="1"/>
  <c r="AR49" i="1"/>
  <c r="AR48" i="1"/>
  <c r="AR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E130" i="1" s="1"/>
  <c r="E3" i="1" s="1"/>
  <c r="C4" i="2" s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G130" i="1" s="1"/>
  <c r="G3" i="1" s="1"/>
  <c r="D4" i="2" s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I130" i="1" s="1"/>
  <c r="I3" i="1" s="1"/>
  <c r="E4" i="2" s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K130" i="1" s="1"/>
  <c r="K3" i="1" s="1"/>
  <c r="F4" i="2" s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M130" i="1" s="1"/>
  <c r="M3" i="1" s="1"/>
  <c r="G4" i="2" s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O130" i="1" s="1"/>
  <c r="O3" i="1" s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Q130" i="1" s="1"/>
  <c r="Q3" i="1" s="1"/>
  <c r="I4" i="2" s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S130" i="1" s="1"/>
  <c r="S3" i="1" s="1"/>
  <c r="J4" i="2" s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U130" i="1" s="1"/>
  <c r="U3" i="1" s="1"/>
  <c r="K4" i="2" s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W130" i="1" s="1"/>
  <c r="W3" i="1" s="1"/>
  <c r="L4" i="2" s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Y130" i="1" s="1"/>
  <c r="Y3" i="1" s="1"/>
  <c r="M4" i="2" s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C130" i="1" s="1"/>
  <c r="AC3" i="1" s="1"/>
  <c r="O4" i="2" s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E130" i="1" s="1"/>
  <c r="AE3" i="1" s="1"/>
  <c r="P4" i="2" s="1"/>
  <c r="AH46" i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G130" i="1" s="1"/>
  <c r="AG3" i="1" s="1"/>
  <c r="Q4" i="2" s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I130" i="1" s="1"/>
  <c r="AI3" i="1" s="1"/>
  <c r="R4" i="2" s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K130" i="1" s="1"/>
  <c r="AK3" i="1" s="1"/>
  <c r="S4" i="2" s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M130" i="1" s="1"/>
  <c r="AM3" i="1" s="1"/>
  <c r="T4" i="2" s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O130" i="1" s="1"/>
  <c r="AO3" i="1" s="1"/>
  <c r="U4" i="2" s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Q130" i="1" s="1"/>
  <c r="AQ3" i="1" s="1"/>
  <c r="V4" i="2" s="1"/>
  <c r="F25" i="4"/>
  <c r="F24" i="4"/>
  <c r="F23" i="4"/>
  <c r="AA130" i="1" l="1"/>
  <c r="AA3" i="1" s="1"/>
  <c r="N4" i="2" s="1"/>
  <c r="X3" i="2"/>
  <c r="W3" i="2"/>
  <c r="C5" i="2" a="1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C5" i="2"/>
</calcChain>
</file>

<file path=xl/sharedStrings.xml><?xml version="1.0" encoding="utf-8"?>
<sst xmlns="http://schemas.openxmlformats.org/spreadsheetml/2006/main" count="2478" uniqueCount="281">
  <si>
    <t>OTTELU</t>
  </si>
  <si>
    <t>TULOS</t>
  </si>
  <si>
    <t>Hannu</t>
  </si>
  <si>
    <t>p</t>
  </si>
  <si>
    <t>ile</t>
  </si>
  <si>
    <t>JermuP</t>
  </si>
  <si>
    <t>Jukka</t>
  </si>
  <si>
    <t>Jussi</t>
  </si>
  <si>
    <t>Jype</t>
  </si>
  <si>
    <t>Kapa</t>
  </si>
  <si>
    <t>Karri</t>
  </si>
  <si>
    <t>KimmoK</t>
  </si>
  <si>
    <t>KimmoL</t>
  </si>
  <si>
    <t>Luka</t>
  </si>
  <si>
    <t>Martti</t>
  </si>
  <si>
    <t>Neste</t>
  </si>
  <si>
    <t>Pele</t>
  </si>
  <si>
    <t>Pexi</t>
  </si>
  <si>
    <t>Saku</t>
  </si>
  <si>
    <t xml:space="preserve">Sampo </t>
  </si>
  <si>
    <t>Tarhonen</t>
  </si>
  <si>
    <t>ChatGPT</t>
  </si>
  <si>
    <t>TommiT</t>
  </si>
  <si>
    <t>Pisteet yhteensä -&gt;</t>
  </si>
  <si>
    <t>Lohkovaihe</t>
  </si>
  <si>
    <t xml:space="preserve"> LOHKO A</t>
  </si>
  <si>
    <t>to 11.6 klo 19:00</t>
  </si>
  <si>
    <t>MEX-RSA</t>
  </si>
  <si>
    <t>2-0</t>
  </si>
  <si>
    <t>3-0</t>
  </si>
  <si>
    <t>0-0</t>
  </si>
  <si>
    <t>2-2</t>
  </si>
  <si>
    <t>1-0</t>
  </si>
  <si>
    <t>3-1</t>
  </si>
  <si>
    <t>to 11.6 klo 22:00</t>
  </si>
  <si>
    <t>KOR-CZE</t>
  </si>
  <si>
    <t>1-2</t>
  </si>
  <si>
    <t>0-1</t>
  </si>
  <si>
    <t>2-1</t>
  </si>
  <si>
    <t>1-1</t>
  </si>
  <si>
    <t>ti 16.6 klo 21:00</t>
  </si>
  <si>
    <t>MEX-KOR</t>
  </si>
  <si>
    <t>ti 16.6 klo 00:00</t>
  </si>
  <si>
    <t>CZE-RSA</t>
  </si>
  <si>
    <t>0-2</t>
  </si>
  <si>
    <t>0-3</t>
  </si>
  <si>
    <t>su 21.6 klo 18:00</t>
  </si>
  <si>
    <t>RSA-KOR</t>
  </si>
  <si>
    <t>1-3</t>
  </si>
  <si>
    <t>2-3</t>
  </si>
  <si>
    <t>CZE-MEX</t>
  </si>
  <si>
    <t>0-4</t>
  </si>
  <si>
    <t>LOHKO B</t>
  </si>
  <si>
    <t>pe 12.6 klo 19:00</t>
  </si>
  <si>
    <t>CAN-BIH</t>
  </si>
  <si>
    <t>3-2</t>
  </si>
  <si>
    <t>pe 12.6 klo 22:00</t>
  </si>
  <si>
    <t>QAT-SUI</t>
  </si>
  <si>
    <t>ke 17.6 klo 21:00</t>
  </si>
  <si>
    <t>CAN-QAT</t>
  </si>
  <si>
    <t>ke 17.6 klo 00:00</t>
  </si>
  <si>
    <t>SUI-BIH</t>
  </si>
  <si>
    <t>ma 22.6 klo 21:00</t>
  </si>
  <si>
    <t>SUI-CAN</t>
  </si>
  <si>
    <t>BIH-QAT</t>
  </si>
  <si>
    <t>LOHKO C</t>
  </si>
  <si>
    <t>la 13.6 klo 19:00</t>
  </si>
  <si>
    <t>BRA-MAR</t>
  </si>
  <si>
    <t>la 13.6 klo 22:00</t>
  </si>
  <si>
    <t>HAI-SCO</t>
  </si>
  <si>
    <t>to 18.6 klo 21:00</t>
  </si>
  <si>
    <t>SCO-MAR</t>
  </si>
  <si>
    <t>BRA-HAI</t>
  </si>
  <si>
    <t>4-0</t>
  </si>
  <si>
    <t>ti 23.6 klo 21:00</t>
  </si>
  <si>
    <t>SCO-BRA</t>
  </si>
  <si>
    <t>MAR-HAI</t>
  </si>
  <si>
    <t>LOHKO D</t>
  </si>
  <si>
    <t>USA-PAR</t>
  </si>
  <si>
    <t>AUS-TUR</t>
  </si>
  <si>
    <t>USA-AUS</t>
  </si>
  <si>
    <t>TUR-PAR</t>
  </si>
  <si>
    <t>TUR-USA</t>
  </si>
  <si>
    <t>PAR-AUS</t>
  </si>
  <si>
    <t>LOHKO E</t>
  </si>
  <si>
    <t>GER-CUR</t>
  </si>
  <si>
    <t>ICV-ECU</t>
  </si>
  <si>
    <t>GER-ICV</t>
  </si>
  <si>
    <t>ECU-CUR</t>
  </si>
  <si>
    <t>4-1</t>
  </si>
  <si>
    <t>CUR-ICV</t>
  </si>
  <si>
    <t>ECU-GER</t>
  </si>
  <si>
    <t>LOHKO F</t>
  </si>
  <si>
    <t>su 14.6 klo 18:00</t>
  </si>
  <si>
    <t>NED-JPN</t>
  </si>
  <si>
    <t>su 14.6 klo 21:00</t>
  </si>
  <si>
    <t>SWE-TUN</t>
  </si>
  <si>
    <t>NED-SWE</t>
  </si>
  <si>
    <t>TUN-JPN</t>
  </si>
  <si>
    <t>JPN-SWE</t>
  </si>
  <si>
    <t>1-4</t>
  </si>
  <si>
    <t>TUN-NED</t>
  </si>
  <si>
    <t>LOHKO G</t>
  </si>
  <si>
    <t>BEL-EGY</t>
  </si>
  <si>
    <t>IRN-NZL</t>
  </si>
  <si>
    <t>BEL-IRN</t>
  </si>
  <si>
    <t>NZL-EGY</t>
  </si>
  <si>
    <t>EGY-IRN</t>
  </si>
  <si>
    <t>NZL-BEL</t>
  </si>
  <si>
    <t>LOHKO H</t>
  </si>
  <si>
    <t>ma 15.6 klo 19:00</t>
  </si>
  <si>
    <t>ESP-CPV</t>
  </si>
  <si>
    <t>ma 15.6 klo 22:00</t>
  </si>
  <si>
    <t>KSA-URU</t>
  </si>
  <si>
    <t>pe 19.6 klo 21:00</t>
  </si>
  <si>
    <t>ESP-KSA</t>
  </si>
  <si>
    <t>URU-CPV</t>
  </si>
  <si>
    <t>ke 24.6 klo 21:00</t>
  </si>
  <si>
    <t>CPV-KSA</t>
  </si>
  <si>
    <t>URU-ESP</t>
  </si>
  <si>
    <t>LOHKO I</t>
  </si>
  <si>
    <t>FRA-SEN</t>
  </si>
  <si>
    <t>IRQ-NOR</t>
  </si>
  <si>
    <t>FRA-IRQ</t>
  </si>
  <si>
    <t>NOR-SEN</t>
  </si>
  <si>
    <t>NOR-FRA</t>
  </si>
  <si>
    <t>SEN-IRQ</t>
  </si>
  <si>
    <t>LOHKO J</t>
  </si>
  <si>
    <t>ti 16.6 klo 19:00</t>
  </si>
  <si>
    <t>ARG-ALG</t>
  </si>
  <si>
    <t>ti 16.6 klo 22:00</t>
  </si>
  <si>
    <t>AUT-JOR</t>
  </si>
  <si>
    <t>la 20.6 klo 21:00</t>
  </si>
  <si>
    <t>ARG-AUT</t>
  </si>
  <si>
    <t>JOR-ALG</t>
  </si>
  <si>
    <t>to 25.6 klo 21:00</t>
  </si>
  <si>
    <t>ALG-AUT</t>
  </si>
  <si>
    <t>JOR-ARG</t>
  </si>
  <si>
    <t>LOHKO K</t>
  </si>
  <si>
    <t>POR-DRC</t>
  </si>
  <si>
    <t>UZB-COL</t>
  </si>
  <si>
    <t>POR-UZB</t>
  </si>
  <si>
    <t>COL-DRC</t>
  </si>
  <si>
    <t>COL-POR</t>
  </si>
  <si>
    <t>DRC-UZB</t>
  </si>
  <si>
    <t>LOHKO L</t>
  </si>
  <si>
    <t>ke 17.6 klo 19:00</t>
  </si>
  <si>
    <t>ENG-CRO</t>
  </si>
  <si>
    <t>ke 17.6 klo 22:00</t>
  </si>
  <si>
    <t>GHA-PAN</t>
  </si>
  <si>
    <t>su 21.6 klo 21:00</t>
  </si>
  <si>
    <t>ENG-GHA</t>
  </si>
  <si>
    <t>PAN-CRO</t>
  </si>
  <si>
    <t>PAN-ENG</t>
  </si>
  <si>
    <t>CRO-GHA</t>
  </si>
  <si>
    <t>Sikajengi (8p)</t>
  </si>
  <si>
    <t>BIH</t>
  </si>
  <si>
    <t>TUR</t>
  </si>
  <si>
    <t>Lohkovaiheen pisteet yhteensä</t>
  </si>
  <si>
    <t>CUP-Vaihe</t>
  </si>
  <si>
    <t>1/16</t>
  </si>
  <si>
    <t>16 joukkoon (2p)</t>
  </si>
  <si>
    <t>GER</t>
  </si>
  <si>
    <t>SWI</t>
  </si>
  <si>
    <t>AUT</t>
  </si>
  <si>
    <t>MEX</t>
  </si>
  <si>
    <t>HUN</t>
  </si>
  <si>
    <t>SPA</t>
  </si>
  <si>
    <t>ENG</t>
  </si>
  <si>
    <t>CRO</t>
  </si>
  <si>
    <t>FRA</t>
  </si>
  <si>
    <t>SER</t>
  </si>
  <si>
    <t>ITA</t>
  </si>
  <si>
    <t>SUI</t>
  </si>
  <si>
    <t>KOR</t>
  </si>
  <si>
    <t>BRA</t>
  </si>
  <si>
    <t>POR</t>
  </si>
  <si>
    <t>DEN</t>
  </si>
  <si>
    <t>SVN</t>
  </si>
  <si>
    <t>JPN</t>
  </si>
  <si>
    <t>ALB</t>
  </si>
  <si>
    <t>MAR</t>
  </si>
  <si>
    <t>UKR</t>
  </si>
  <si>
    <t>BEL</t>
  </si>
  <si>
    <t>NED</t>
  </si>
  <si>
    <t>CZE</t>
  </si>
  <si>
    <t>ESP</t>
  </si>
  <si>
    <t>SCO</t>
  </si>
  <si>
    <t>POL</t>
  </si>
  <si>
    <t>SVK</t>
  </si>
  <si>
    <t>ICV</t>
  </si>
  <si>
    <t>ARG</t>
  </si>
  <si>
    <t>ROM</t>
  </si>
  <si>
    <t>PAR</t>
  </si>
  <si>
    <t>URU</t>
  </si>
  <si>
    <t>1/8</t>
  </si>
  <si>
    <t>Puolivälieriin (4p)</t>
  </si>
  <si>
    <t>1/4</t>
  </si>
  <si>
    <t>Välieriin (8p)</t>
  </si>
  <si>
    <t>1/2</t>
  </si>
  <si>
    <t>Finaaliin (15p)</t>
  </si>
  <si>
    <t>1/1</t>
  </si>
  <si>
    <t>Mestari (30p)</t>
  </si>
  <si>
    <t>Mestari (10p)</t>
  </si>
  <si>
    <t>Mestari</t>
  </si>
  <si>
    <t>CUP-Vaiheen pisteet yhteensä</t>
  </si>
  <si>
    <t>Maalintekijä 1p per maali pois lukien rankkarikisat, pisteiden syöttö käsin.</t>
  </si>
  <si>
    <t>Kane</t>
  </si>
  <si>
    <t>Pisteet yhteensä</t>
  </si>
  <si>
    <t>KA</t>
  </si>
  <si>
    <t>Keskih</t>
  </si>
  <si>
    <t>EM 2004 Portugal
1. GRE
2. POR</t>
  </si>
  <si>
    <t>MM 2006 Germany
1. ITA
2. FRA
3. GER</t>
  </si>
  <si>
    <t>EM 2008 AUS/SWI
1. SPA
2. GER</t>
  </si>
  <si>
    <t>MM 2010 S-Africa
1. SPA
2. NED
3. GER</t>
  </si>
  <si>
    <t>EM 2012 POL/UKR
1. SPA
2. ITA</t>
  </si>
  <si>
    <t>MM 2014 Brazil
1. GER
2. ARG
3. NED</t>
  </si>
  <si>
    <t>EM 2016 France
1. POR
2. FRA</t>
  </si>
  <si>
    <t>MM 2018 Russia
1. FRA
2. CRO
3. BEL</t>
  </si>
  <si>
    <t xml:space="preserve">EM 2020 
1. ITA
2. ENG
</t>
  </si>
  <si>
    <t>MM 2022</t>
  </si>
  <si>
    <t>EM 2024 Germany</t>
  </si>
  <si>
    <t>Osallistujia</t>
  </si>
  <si>
    <t>Ei</t>
  </si>
  <si>
    <t>Voittajan pisteet</t>
  </si>
  <si>
    <t>Voittaja</t>
  </si>
  <si>
    <t>LariL</t>
  </si>
  <si>
    <t>veikkausta</t>
  </si>
  <si>
    <t>Ville/Tolvanen</t>
  </si>
  <si>
    <t>Kakkonen</t>
  </si>
  <si>
    <t>Kimmo/Hannu</t>
  </si>
  <si>
    <t>Aki</t>
  </si>
  <si>
    <t>Jere</t>
  </si>
  <si>
    <t>Pete</t>
  </si>
  <si>
    <t>Kolmonen</t>
  </si>
  <si>
    <t>TimoS</t>
  </si>
  <si>
    <t>Tommi/Ile/Wade/Pele</t>
  </si>
  <si>
    <t>J.Saimen</t>
  </si>
  <si>
    <t>Pele/KimmoL</t>
  </si>
  <si>
    <t>Voitot</t>
  </si>
  <si>
    <t>2. sijat</t>
  </si>
  <si>
    <t>3. sijat</t>
  </si>
  <si>
    <t>JukkaM</t>
  </si>
  <si>
    <t>Tolvanen</t>
  </si>
  <si>
    <t>HannuM</t>
  </si>
  <si>
    <t>AkiK</t>
  </si>
  <si>
    <t>Jermupisto</t>
  </si>
  <si>
    <t>PeteM</t>
  </si>
  <si>
    <t>IleN</t>
  </si>
  <si>
    <t>OSALLISTUMINEN</t>
  </si>
  <si>
    <t>1. Ilmoittautuminen: Pe 7.6. mennessä 30 EUR maksettu Mobile Pay 0458500205 tai tilisiirto FI28 4405 0010 3120 42</t>
  </si>
  <si>
    <t xml:space="preserve">2. To 13.6. klo 18:00 mennessä oman täytetyn Excelin palautus jype.multanen@gmail.com </t>
  </si>
  <si>
    <t xml:space="preserve">Pisteet: </t>
  </si>
  <si>
    <t>1. Lohkovaihe</t>
  </si>
  <si>
    <t>- Oikea tulos = 3p</t>
  </si>
  <si>
    <t>- Väärä tulos, mutta voittaja tai tasapeli veikattu oikein = 1p</t>
  </si>
  <si>
    <t>- Väärä veikkaus (ei auta vaikka vain toisen joukkueen maalit olisi oikein) = 0 p</t>
  </si>
  <si>
    <t>2. Lohkovaiheen sikajengi (4p)</t>
  </si>
  <si>
    <t>Lohkovaiheessa eniten keltaisia ja punaisia kortteja saanut joukkue. Lasketaan niin että lohkopeleissä keltaisista korteista 1 p, kahdesta keltaisesta tullut punainen 2 p ja suora punainen 3 p. Tulos katsotaan UEFA:n tilastosta, jos ristiriitoja. Jos useammalla joukkueella sama määrä, niin kaikille oikeille veikanneille 4 pistettä.</t>
  </si>
  <si>
    <t xml:space="preserve">3. Maalintekijä (1p per maali). </t>
  </si>
  <si>
    <t>Saat veikata tähän ketä tahansa yhtä pelaajaa. Saat 1 p per tämän pelaajan koko kisoissa tekemä maali.</t>
  </si>
  <si>
    <t>4. Cup-vaihe</t>
  </si>
  <si>
    <t>- 16 parhaan joukkoon = Lohkosta jatkoon päässeet joukkueet = 1p per joukkue</t>
  </si>
  <si>
    <t>- 8 parhaan joukkoon = Puolivälieriin = Lohkosta jatkoon päässeet joukkueet = 2p per joukkue</t>
  </si>
  <si>
    <t>- Puolivälierän voittajat = Välieriin pääsevät joukkueet = 4p lisää per joukkue</t>
  </si>
  <si>
    <t>- Välierien voittajat = Finaaliin päässeet joukkueet = 6p lisää per joukkue</t>
  </si>
  <si>
    <t>- Finaalin voittaja = 10p lisää.</t>
  </si>
  <si>
    <t>Voitonjako</t>
  </si>
  <si>
    <t>pelaajaa</t>
  </si>
  <si>
    <t>panos/hlö</t>
  </si>
  <si>
    <t>POTTI</t>
  </si>
  <si>
    <t>20</t>
  </si>
  <si>
    <t>30</t>
  </si>
  <si>
    <t>1. = 70%</t>
  </si>
  <si>
    <t>2. = 20%</t>
  </si>
  <si>
    <t>3. = 10%</t>
  </si>
  <si>
    <t xml:space="preserve">Tasatilanteessa osuus jaetaan tasan olevien pelaajien kesken. </t>
  </si>
  <si>
    <t>Esim: Kaksi pelaajaa jaetulla ykkössijalla: Molemmat saavat (70+20)/2 = 45%. Seuraavaksi paras 10% tai jos useampia jaetaan heidän kesken.</t>
  </si>
  <si>
    <t>Esim: Kolme tai useampi pelaaja jaetulla ykkössijalla: Koko potti jaetaan näiden kesken.</t>
  </si>
  <si>
    <t>Esim: Yksi voittaja, kaksi tai useampi pelaaja jaetulla kakkossijalla. Voittajalle 70%, kakkossijan jakajille jaetaan loppuosa 30%, eli 15% kummallekin.</t>
  </si>
  <si>
    <t>Kehitysideoita saa laittaa 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</si>
</sst>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&quot; &quot;d&quot;.&quot;m&quot; &quot;h&quot;:&quot;mm"/>
    <numFmt numFmtId="165" formatCode="0.0"/>
  </numFmts>
  <fonts count="16">
    <font>
      <sz val="10"/>
      <color rgb="FF000000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2"/>
      <color theme="1"/>
      <name val="Arial"/>
    </font>
    <font>
      <sz val="10"/>
      <name val="Calibri"/>
    </font>
    <font>
      <sz val="12"/>
      <color theme="1"/>
      <name val="Arial"/>
    </font>
    <font>
      <b/>
      <sz val="16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Calibri"/>
      <scheme val="minor"/>
    </font>
    <font>
      <b/>
      <sz val="14"/>
      <color theme="1"/>
      <name val="Arial"/>
    </font>
    <font>
      <sz val="14"/>
      <color theme="1"/>
      <name val="Arial"/>
    </font>
    <font>
      <b/>
      <sz val="9"/>
      <color theme="1"/>
      <name val="Arial"/>
    </font>
    <font>
      <sz val="18"/>
      <color theme="1"/>
      <name val="Arial"/>
    </font>
    <font>
      <b/>
      <sz val="18"/>
      <color theme="1"/>
      <name val="Arial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CCFF"/>
        <bgColor rgb="FF00CCFF"/>
      </patternFill>
    </fill>
    <fill>
      <patternFill patternType="solid">
        <fgColor rgb="FFFF9900"/>
        <bgColor rgb="FFFF9900"/>
      </patternFill>
    </fill>
    <fill>
      <patternFill patternType="solid">
        <fgColor rgb="FFFFFFCC"/>
        <bgColor rgb="FFFFFFCC"/>
      </patternFill>
    </fill>
    <fill>
      <patternFill patternType="solid">
        <fgColor rgb="FFFF99CC"/>
        <bgColor rgb="FFFF99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theme="1"/>
      </bottom>
      <diagonal/>
    </border>
    <border>
      <left/>
      <right style="double">
        <color theme="1"/>
      </right>
      <top/>
      <bottom style="thin">
        <color theme="1"/>
      </bottom>
      <diagonal/>
    </border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 style="double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49" fontId="3" fillId="2" borderId="2" xfId="0" applyNumberFormat="1" applyFont="1" applyFill="1" applyBorder="1" applyAlignment="1">
      <alignment horizontal="center" vertical="center" wrapText="1"/>
    </xf>
    <xf numFmtId="1" fontId="5" fillId="0" borderId="4" xfId="0" applyNumberFormat="1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" fontId="3" fillId="0" borderId="7" xfId="0" applyNumberFormat="1" applyFont="1" applyBorder="1" applyAlignment="1">
      <alignment vertical="center"/>
    </xf>
    <xf numFmtId="1" fontId="3" fillId="0" borderId="8" xfId="0" applyNumberFormat="1" applyFont="1" applyBorder="1" applyAlignment="1">
      <alignment vertic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7" fillId="0" borderId="11" xfId="0" applyFont="1" applyBorder="1" applyAlignment="1">
      <alignment vertical="center" wrapText="1"/>
    </xf>
    <xf numFmtId="49" fontId="1" fillId="0" borderId="1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9" fontId="3" fillId="0" borderId="13" xfId="0" applyNumberFormat="1" applyFont="1" applyBorder="1" applyAlignment="1">
      <alignment vertical="center"/>
    </xf>
    <xf numFmtId="49" fontId="3" fillId="2" borderId="2" xfId="0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vertical="center" wrapText="1"/>
    </xf>
    <xf numFmtId="0" fontId="1" fillId="0" borderId="16" xfId="0" applyFont="1" applyBorder="1"/>
    <xf numFmtId="0" fontId="5" fillId="0" borderId="17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49" fontId="1" fillId="0" borderId="0" xfId="0" applyNumberFormat="1" applyFont="1"/>
    <xf numFmtId="0" fontId="1" fillId="0" borderId="10" xfId="0" applyFont="1" applyBorder="1"/>
    <xf numFmtId="0" fontId="1" fillId="0" borderId="21" xfId="0" applyFont="1" applyBorder="1"/>
    <xf numFmtId="0" fontId="1" fillId="0" borderId="7" xfId="0" applyFont="1" applyBorder="1" applyAlignment="1">
      <alignment vertical="center" wrapText="1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vertical="center" wrapText="1"/>
    </xf>
    <xf numFmtId="0" fontId="1" fillId="0" borderId="23" xfId="0" applyFont="1" applyBorder="1" applyAlignment="1">
      <alignment horizontal="center" wrapText="1"/>
    </xf>
    <xf numFmtId="49" fontId="1" fillId="0" borderId="0" xfId="0" applyNumberFormat="1" applyFont="1" applyAlignment="1">
      <alignment vertical="center" wrapText="1"/>
    </xf>
    <xf numFmtId="0" fontId="1" fillId="0" borderId="24" xfId="0" applyFont="1" applyBorder="1" applyAlignment="1">
      <alignment horizontal="center" wrapText="1"/>
    </xf>
    <xf numFmtId="0" fontId="9" fillId="0" borderId="0" xfId="0" applyFont="1"/>
    <xf numFmtId="0" fontId="2" fillId="0" borderId="7" xfId="0" applyFont="1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49" fontId="1" fillId="0" borderId="27" xfId="0" applyNumberFormat="1" applyFont="1" applyBorder="1" applyAlignment="1">
      <alignment horizontal="center" vertical="center" wrapText="1"/>
    </xf>
    <xf numFmtId="1" fontId="1" fillId="0" borderId="28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29" xfId="0" applyFont="1" applyBorder="1" applyAlignment="1">
      <alignment horizontal="center"/>
    </xf>
    <xf numFmtId="0" fontId="2" fillId="0" borderId="10" xfId="0" applyFont="1" applyBorder="1"/>
    <xf numFmtId="0" fontId="1" fillId="0" borderId="30" xfId="0" applyFont="1" applyBorder="1"/>
    <xf numFmtId="0" fontId="2" fillId="0" borderId="30" xfId="0" applyFont="1" applyBorder="1"/>
    <xf numFmtId="0" fontId="10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1" fillId="0" borderId="0" xfId="0" applyNumberFormat="1" applyFont="1"/>
    <xf numFmtId="1" fontId="2" fillId="0" borderId="0" xfId="0" applyNumberFormat="1" applyFont="1"/>
    <xf numFmtId="1" fontId="2" fillId="0" borderId="0" xfId="0" applyNumberFormat="1" applyFont="1" applyAlignment="1">
      <alignment wrapText="1"/>
    </xf>
    <xf numFmtId="49" fontId="9" fillId="0" borderId="0" xfId="0" applyNumberFormat="1" applyFont="1"/>
    <xf numFmtId="1" fontId="9" fillId="0" borderId="0" xfId="0" applyNumberFormat="1" applyFont="1"/>
    <xf numFmtId="0" fontId="8" fillId="0" borderId="0" xfId="0" applyFont="1"/>
    <xf numFmtId="0" fontId="1" fillId="0" borderId="0" xfId="0" applyFont="1" applyAlignment="1">
      <alignment horizontal="left"/>
    </xf>
    <xf numFmtId="0" fontId="10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49" fontId="13" fillId="0" borderId="0" xfId="0" applyNumberFormat="1" applyFont="1"/>
    <xf numFmtId="49" fontId="14" fillId="0" borderId="0" xfId="0" applyNumberFormat="1" applyFont="1"/>
    <xf numFmtId="49" fontId="7" fillId="0" borderId="0" xfId="0" applyNumberFormat="1" applyFont="1"/>
    <xf numFmtId="49" fontId="8" fillId="0" borderId="0" xfId="0" applyNumberFormat="1" applyFont="1"/>
    <xf numFmtId="49" fontId="10" fillId="0" borderId="0" xfId="0" applyNumberFormat="1" applyFont="1"/>
    <xf numFmtId="49" fontId="10" fillId="0" borderId="0" xfId="0" applyNumberFormat="1" applyFont="1" applyAlignment="1">
      <alignment vertical="center" wrapText="1"/>
    </xf>
    <xf numFmtId="49" fontId="2" fillId="0" borderId="0" xfId="0" applyNumberFormat="1" applyFont="1"/>
    <xf numFmtId="49" fontId="2" fillId="0" borderId="0" xfId="0" applyNumberFormat="1" applyFont="1" applyAlignment="1">
      <alignment horizontal="left" wrapText="1"/>
    </xf>
    <xf numFmtId="2" fontId="1" fillId="0" borderId="0" xfId="0" applyNumberFormat="1" applyFont="1"/>
    <xf numFmtId="0" fontId="0" fillId="0" borderId="0" xfId="0" applyAlignment="1">
      <alignment horizontal="center"/>
    </xf>
    <xf numFmtId="0" fontId="1" fillId="2" borderId="18" xfId="0" applyFont="1" applyFill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0" fontId="5" fillId="2" borderId="18" xfId="0" applyFont="1" applyFill="1" applyBorder="1" applyAlignment="1">
      <alignment vertical="center" wrapText="1"/>
    </xf>
    <xf numFmtId="164" fontId="1" fillId="2" borderId="22" xfId="0" applyNumberFormat="1" applyFont="1" applyFill="1" applyBorder="1"/>
    <xf numFmtId="49" fontId="1" fillId="2" borderId="22" xfId="0" applyNumberFormat="1" applyFont="1" applyFill="1" applyBorder="1"/>
    <xf numFmtId="49" fontId="1" fillId="2" borderId="18" xfId="0" applyNumberFormat="1" applyFont="1" applyFill="1" applyBorder="1"/>
    <xf numFmtId="49" fontId="1" fillId="2" borderId="26" xfId="0" applyNumberFormat="1" applyFont="1" applyFill="1" applyBorder="1"/>
    <xf numFmtId="0" fontId="1" fillId="2" borderId="22" xfId="0" applyFont="1" applyFill="1" applyBorder="1"/>
    <xf numFmtId="49" fontId="1" fillId="2" borderId="2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2" borderId="18" xfId="0" applyNumberFormat="1" applyFont="1" applyFill="1" applyBorder="1" applyAlignment="1">
      <alignment horizontal="center"/>
    </xf>
    <xf numFmtId="0" fontId="7" fillId="2" borderId="18" xfId="0" applyFont="1" applyFill="1" applyBorder="1" applyAlignment="1">
      <alignment horizontal="right" vertical="center" wrapText="1"/>
    </xf>
    <xf numFmtId="16" fontId="8" fillId="2" borderId="18" xfId="0" quotePrefix="1" applyNumberFormat="1" applyFont="1" applyFill="1" applyBorder="1" applyAlignment="1">
      <alignment horizontal="center" vertical="center" wrapText="1"/>
    </xf>
    <xf numFmtId="16" fontId="8" fillId="2" borderId="18" xfId="0" applyNumberFormat="1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vertical="center" wrapText="1"/>
    </xf>
    <xf numFmtId="49" fontId="8" fillId="2" borderId="22" xfId="0" quotePrefix="1" applyNumberFormat="1" applyFont="1" applyFill="1" applyBorder="1" applyAlignment="1">
      <alignment horizontal="center" vertical="center" wrapText="1"/>
    </xf>
    <xf numFmtId="49" fontId="8" fillId="2" borderId="18" xfId="0" applyNumberFormat="1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wrapText="1"/>
    </xf>
    <xf numFmtId="0" fontId="7" fillId="2" borderId="22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center" vertical="center" wrapText="1"/>
    </xf>
    <xf numFmtId="49" fontId="3" fillId="2" borderId="18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right" vertical="center" wrapText="1"/>
    </xf>
    <xf numFmtId="0" fontId="15" fillId="0" borderId="0" xfId="0" applyFont="1"/>
    <xf numFmtId="49" fontId="15" fillId="0" borderId="0" xfId="0" applyNumberFormat="1" applyFont="1" applyAlignment="1">
      <alignment horizontal="center"/>
    </xf>
    <xf numFmtId="0" fontId="15" fillId="0" borderId="32" xfId="0" applyFont="1" applyBorder="1"/>
    <xf numFmtId="49" fontId="15" fillId="0" borderId="32" xfId="0" applyNumberFormat="1" applyFont="1" applyBorder="1" applyAlignment="1">
      <alignment horizontal="center"/>
    </xf>
    <xf numFmtId="49" fontId="15" fillId="0" borderId="33" xfId="0" applyNumberFormat="1" applyFont="1" applyBorder="1" applyAlignment="1">
      <alignment horizontal="center" vertical="center"/>
    </xf>
    <xf numFmtId="49" fontId="2" fillId="9" borderId="3" xfId="0" applyNumberFormat="1" applyFont="1" applyFill="1" applyBorder="1" applyAlignment="1">
      <alignment horizontal="center" vertical="center" wrapText="1"/>
    </xf>
    <xf numFmtId="1" fontId="5" fillId="9" borderId="4" xfId="0" applyNumberFormat="1" applyFont="1" applyFill="1" applyBorder="1" applyAlignment="1">
      <alignment horizontal="center" vertical="center" wrapText="1"/>
    </xf>
    <xf numFmtId="49" fontId="1" fillId="9" borderId="0" xfId="0" applyNumberFormat="1" applyFont="1" applyFill="1" applyAlignment="1">
      <alignment horizontal="center"/>
    </xf>
    <xf numFmtId="0" fontId="1" fillId="9" borderId="9" xfId="0" applyFont="1" applyFill="1" applyBorder="1" applyAlignment="1">
      <alignment horizontal="center"/>
    </xf>
    <xf numFmtId="49" fontId="1" fillId="9" borderId="7" xfId="0" applyNumberFormat="1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  <xf numFmtId="49" fontId="1" fillId="9" borderId="22" xfId="0" applyNumberFormat="1" applyFont="1" applyFill="1" applyBorder="1"/>
    <xf numFmtId="49" fontId="1" fillId="9" borderId="26" xfId="0" applyNumberFormat="1" applyFont="1" applyFill="1" applyBorder="1"/>
    <xf numFmtId="0" fontId="1" fillId="9" borderId="18" xfId="0" applyFont="1" applyFill="1" applyBorder="1"/>
    <xf numFmtId="49" fontId="1" fillId="9" borderId="26" xfId="0" applyNumberFormat="1" applyFont="1" applyFill="1" applyBorder="1" applyAlignment="1">
      <alignment horizontal="center"/>
    </xf>
    <xf numFmtId="49" fontId="2" fillId="0" borderId="3" xfId="0" applyNumberFormat="1" applyFont="1" applyFill="1" applyBorder="1" applyAlignment="1">
      <alignment horizontal="center" vertical="center" wrapText="1"/>
    </xf>
    <xf numFmtId="49" fontId="15" fillId="8" borderId="31" xfId="0" applyNumberFormat="1" applyFont="1" applyFill="1" applyBorder="1"/>
    <xf numFmtId="0" fontId="15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15" fillId="0" borderId="32" xfId="0" applyFont="1" applyBorder="1" applyAlignment="1">
      <alignment horizontal="center"/>
    </xf>
    <xf numFmtId="1" fontId="5" fillId="0" borderId="4" xfId="0" applyNumberFormat="1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49" fontId="1" fillId="0" borderId="26" xfId="0" applyNumberFormat="1" applyFont="1" applyFill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/>
    <xf numFmtId="1" fontId="3" fillId="0" borderId="6" xfId="0" applyNumberFormat="1" applyFont="1" applyBorder="1" applyAlignment="1">
      <alignment horizontal="center" vertical="center"/>
    </xf>
    <xf numFmtId="0" fontId="4" fillId="0" borderId="4" xfId="0" applyFont="1" applyBorder="1" applyAlignment="1"/>
    <xf numFmtId="0" fontId="5" fillId="0" borderId="0" xfId="0" applyFont="1" applyAlignment="1">
      <alignment horizontal="center" wrapText="1"/>
    </xf>
    <xf numFmtId="0" fontId="0" fillId="0" borderId="0" xfId="0" applyAlignment="1"/>
    <xf numFmtId="1" fontId="3" fillId="0" borderId="15" xfId="0" applyNumberFormat="1" applyFont="1" applyBorder="1" applyAlignment="1">
      <alignment horizontal="center" vertical="center"/>
    </xf>
    <xf numFmtId="0" fontId="4" fillId="0" borderId="14" xfId="0" applyFont="1" applyBorder="1" applyAlignment="1"/>
    <xf numFmtId="0" fontId="3" fillId="0" borderId="1" xfId="0" applyFont="1" applyBorder="1" applyAlignment="1">
      <alignment horizontal="center" vertical="center" wrapText="1"/>
    </xf>
    <xf numFmtId="0" fontId="4" fillId="0" borderId="2" xfId="0" applyFont="1" applyBorder="1" applyAlignment="1"/>
    <xf numFmtId="0" fontId="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/>
    <xf numFmtId="49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/>
    <xf numFmtId="0" fontId="8" fillId="3" borderId="19" xfId="0" applyFont="1" applyFill="1" applyBorder="1" applyAlignment="1">
      <alignment horizontal="center" vertical="center" wrapText="1"/>
    </xf>
    <xf numFmtId="0" fontId="4" fillId="0" borderId="20" xfId="0" applyFont="1" applyBorder="1" applyAlignment="1"/>
    <xf numFmtId="0" fontId="5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/>
    <xf numFmtId="49" fontId="1" fillId="2" borderId="18" xfId="0" applyNumberFormat="1" applyFont="1" applyFill="1" applyBorder="1" applyAlignment="1">
      <alignment horizontal="left" vertical="center" wrapText="1"/>
    </xf>
    <xf numFmtId="0" fontId="4" fillId="0" borderId="18" xfId="0" applyFont="1" applyBorder="1" applyAlignment="1"/>
    <xf numFmtId="0" fontId="6" fillId="0" borderId="3" xfId="0" applyFont="1" applyBorder="1" applyAlignment="1">
      <alignment horizontal="right" vertical="center" wrapText="1"/>
    </xf>
    <xf numFmtId="0" fontId="4" fillId="0" borderId="3" xfId="0" applyFont="1" applyBorder="1" applyAlignment="1"/>
    <xf numFmtId="1" fontId="3" fillId="0" borderId="3" xfId="0" applyNumberFormat="1" applyFont="1" applyBorder="1" applyAlignment="1">
      <alignment horizontal="center" vertical="center"/>
    </xf>
    <xf numFmtId="0" fontId="8" fillId="4" borderId="22" xfId="0" applyFont="1" applyFill="1" applyBorder="1" applyAlignment="1">
      <alignment horizontal="center" vertical="center" wrapText="1"/>
    </xf>
    <xf numFmtId="0" fontId="4" fillId="0" borderId="26" xfId="0" applyFont="1" applyBorder="1" applyAlignment="1"/>
    <xf numFmtId="49" fontId="1" fillId="2" borderId="22" xfId="0" applyNumberFormat="1" applyFont="1" applyFill="1" applyBorder="1" applyAlignment="1">
      <alignment horizontal="left" vertical="center" wrapText="1"/>
    </xf>
    <xf numFmtId="0" fontId="4" fillId="0" borderId="22" xfId="0" applyFont="1" applyBorder="1" applyAlignment="1"/>
    <xf numFmtId="0" fontId="8" fillId="5" borderId="22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8" fillId="6" borderId="22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 vertical="center" wrapText="1"/>
    </xf>
    <xf numFmtId="1" fontId="10" fillId="0" borderId="15" xfId="0" applyNumberFormat="1" applyFont="1" applyBorder="1" applyAlignment="1">
      <alignment horizontal="center" vertical="center"/>
    </xf>
    <xf numFmtId="1" fontId="10" fillId="0" borderId="2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4" fillId="0" borderId="7" xfId="0" applyFont="1" applyBorder="1" applyAlignment="1"/>
    <xf numFmtId="1" fontId="10" fillId="0" borderId="13" xfId="0" applyNumberFormat="1" applyFont="1" applyBorder="1" applyAlignment="1">
      <alignment horizontal="center" vertical="center"/>
    </xf>
    <xf numFmtId="49" fontId="1" fillId="0" borderId="27" xfId="0" applyNumberFormat="1" applyFont="1" applyBorder="1" applyAlignment="1">
      <alignment horizontal="right" vertical="center" wrapText="1"/>
    </xf>
    <xf numFmtId="0" fontId="4" fillId="0" borderId="27" xfId="0" applyFont="1" applyBorder="1" applyAlignment="1"/>
    <xf numFmtId="0" fontId="10" fillId="0" borderId="13" xfId="0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left" wrapText="1"/>
    </xf>
  </cellXfs>
  <cellStyles count="1">
    <cellStyle name="Normaali" xfId="0" builtinId="0"/>
  </cellStyles>
  <dxfs count="1">
    <dxf>
      <fill>
        <patternFill patternType="solid">
          <fgColor rgb="FFD0E0E3"/>
          <bgColor rgb="FFD0E0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i-FI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Pistetilanne!$C$5:$V$5</c:f>
              <c:numCache>
                <c:formatCode>@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cat>
          <c:val>
            <c:numRef>
              <c:f>Pistetilanne!$C$6:$V$6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5F4-4515-BF53-B292CB0AF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0798052"/>
        <c:axId val="1224812858"/>
      </c:barChart>
      <c:catAx>
        <c:axId val="20107980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@" sourceLinked="1"/>
        <c:majorTickMark val="out"/>
        <c:minorTickMark val="none"/>
        <c:tickLblPos val="nextTo"/>
        <c:txPr>
          <a:bodyPr rot="-5400000"/>
          <a:lstStyle/>
          <a:p>
            <a:pPr lvl="0">
              <a:defRPr sz="1800" b="0" i="0">
                <a:solidFill>
                  <a:srgbClr val="000000"/>
                </a:solidFill>
                <a:latin typeface="Arial"/>
              </a:defRPr>
            </a:pPr>
            <a:endParaRPr lang="en-US"/>
          </a:p>
        </c:txPr>
        <c:crossAx val="1224812858"/>
        <c:crosses val="autoZero"/>
        <c:auto val="1"/>
        <c:lblAlgn val="ctr"/>
        <c:lblOffset val="100"/>
        <c:noMultiLvlLbl val="1"/>
      </c:catAx>
      <c:valAx>
        <c:axId val="1224812858"/>
        <c:scaling>
          <c:orientation val="minMax"/>
          <c:min val="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0798052"/>
        <c:crosses val="max"/>
        <c:crossBetween val="between"/>
        <c:majorUnit val="5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3" name="Shape 3" descr="Image result for france fla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2" name="Shape 3" descr="Image result for france fla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4" name="Shape 3" descr="Image result for france fla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5" name="Shape 3" descr="Image result for france fla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6" name="Shape 3" descr="Image result for france fla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7" name="Shape 3" descr="Image result for france fla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8" name="Shape 3" descr="Image result for france fla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9" name="Shape 3" descr="Image result for france fla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10" name="Shape 3" descr="Image result for france fla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11" name="Shape 3" descr="Image result for france fla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12" name="Shape 3" descr="Image result for france fla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13" name="Shape 3" descr="Image result for france fla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14" name="Shape 3" descr="Image result for france fla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15" name="Shape 3" descr="Image result for france fla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16" name="Shape 3" descr="Image result for france fla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17" name="Shape 3" descr="Image result for france fla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18" name="Shape 3" descr="Image result for france fla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47625</xdr:rowOff>
    </xdr:from>
    <xdr:ext cx="304800" cy="314325"/>
    <xdr:sp macro="" textlink="">
      <xdr:nvSpPr>
        <xdr:cNvPr id="19" name="Shape 4" descr="Image result for northern ireland fla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20" name="Shape 3" descr="Image result for france fla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21" name="Shape 3" descr="Image result for france fla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22" name="Shape 3" descr="Image result for france fla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23" name="Shape 3" descr="Image result for france fla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11</xdr:row>
      <xdr:rowOff>123825</xdr:rowOff>
    </xdr:from>
    <xdr:ext cx="304800" cy="314325"/>
    <xdr:sp macro="" textlink="">
      <xdr:nvSpPr>
        <xdr:cNvPr id="24" name="Shape 3" descr="Image result for france fla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25" name="Shape 3" descr="Image result for france fla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7</xdr:row>
      <xdr:rowOff>95250</xdr:rowOff>
    </xdr:from>
    <xdr:ext cx="12944475" cy="76485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BL1042"/>
  <sheetViews>
    <sheetView tabSelected="1" workbookViewId="0">
      <pane ySplit="3" topLeftCell="A4" activePane="bottomLeft" state="frozen"/>
      <selection pane="bottomLeft" activeCell="A3" sqref="A3:XFD3"/>
    </sheetView>
  </sheetViews>
  <sheetFormatPr defaultColWidth="14.42578125" defaultRowHeight="15" customHeight="1"/>
  <cols>
    <col min="1" max="1" width="17" customWidth="1"/>
    <col min="2" max="2" width="12.42578125" customWidth="1"/>
    <col min="3" max="3" width="11.28515625" customWidth="1"/>
    <col min="4" max="4" width="2" customWidth="1"/>
    <col min="5" max="5" width="10.7109375" customWidth="1"/>
    <col min="6" max="6" width="3" customWidth="1"/>
    <col min="7" max="7" width="10.7109375" customWidth="1"/>
    <col min="8" max="8" width="3.5703125" customWidth="1"/>
    <col min="9" max="9" width="10.7109375" customWidth="1"/>
    <col min="10" max="10" width="3" customWidth="1"/>
    <col min="11" max="11" width="10.7109375" customWidth="1"/>
    <col min="12" max="12" width="3" customWidth="1"/>
    <col min="13" max="13" width="10.7109375" customWidth="1"/>
    <col min="14" max="14" width="3" customWidth="1"/>
    <col min="15" max="15" width="10.7109375" customWidth="1"/>
    <col min="16" max="16" width="3" customWidth="1"/>
    <col min="17" max="17" width="10.7109375" customWidth="1"/>
    <col min="18" max="18" width="3" customWidth="1"/>
    <col min="19" max="19" width="10.7109375" customWidth="1"/>
    <col min="20" max="20" width="3" customWidth="1"/>
    <col min="21" max="21" width="10.7109375" customWidth="1"/>
    <col min="22" max="22" width="3" customWidth="1"/>
    <col min="23" max="23" width="10.7109375" customWidth="1"/>
    <col min="24" max="24" width="3" customWidth="1"/>
    <col min="25" max="25" width="10.7109375" customWidth="1"/>
    <col min="26" max="26" width="3" customWidth="1"/>
    <col min="27" max="27" width="10.7109375" customWidth="1"/>
    <col min="28" max="28" width="3" customWidth="1"/>
    <col min="29" max="29" width="10.7109375" customWidth="1"/>
    <col min="30" max="30" width="3" customWidth="1"/>
    <col min="31" max="31" width="10.7109375" customWidth="1"/>
    <col min="32" max="32" width="3" customWidth="1"/>
    <col min="33" max="33" width="10.7109375" customWidth="1"/>
    <col min="34" max="34" width="3" customWidth="1"/>
    <col min="35" max="35" width="10.7109375" customWidth="1"/>
    <col min="36" max="36" width="3" customWidth="1"/>
    <col min="37" max="37" width="10.7109375" customWidth="1"/>
    <col min="38" max="38" width="3" customWidth="1"/>
    <col min="39" max="39" width="10.7109375" customWidth="1"/>
    <col min="40" max="40" width="3" customWidth="1"/>
    <col min="41" max="41" width="10.7109375" customWidth="1"/>
    <col min="42" max="42" width="3" customWidth="1"/>
    <col min="43" max="43" width="10.7109375" customWidth="1"/>
    <col min="44" max="44" width="3" customWidth="1"/>
    <col min="45" max="64" width="8.7109375" customWidth="1"/>
  </cols>
  <sheetData>
    <row r="1" spans="1:64" ht="12.75" customHeight="1">
      <c r="C1" s="1"/>
      <c r="D1" s="73"/>
      <c r="E1" s="2"/>
      <c r="G1" s="2"/>
      <c r="I1" s="2"/>
      <c r="K1" s="2"/>
      <c r="M1" s="2"/>
      <c r="O1" s="2"/>
      <c r="Q1" s="2"/>
      <c r="S1" s="2"/>
      <c r="U1" s="2"/>
      <c r="W1" s="2"/>
      <c r="Y1" s="2"/>
      <c r="AA1" s="2"/>
      <c r="AC1" s="2"/>
      <c r="AE1" s="2"/>
      <c r="AG1" s="2"/>
      <c r="AI1" s="2"/>
      <c r="AK1" s="2"/>
      <c r="AM1" s="2"/>
      <c r="AO1" s="2"/>
      <c r="AQ1" s="2"/>
    </row>
    <row r="2" spans="1:64" ht="51.75" customHeight="1">
      <c r="A2" s="128" t="s">
        <v>0</v>
      </c>
      <c r="B2" s="129"/>
      <c r="C2" s="74" t="s">
        <v>1</v>
      </c>
      <c r="D2" s="3"/>
      <c r="E2" s="100" t="s">
        <v>2</v>
      </c>
      <c r="F2" s="101" t="s">
        <v>3</v>
      </c>
      <c r="G2" s="100" t="s">
        <v>4</v>
      </c>
      <c r="H2" s="101" t="s">
        <v>3</v>
      </c>
      <c r="I2" s="100" t="s">
        <v>5</v>
      </c>
      <c r="J2" s="101" t="s">
        <v>3</v>
      </c>
      <c r="K2" s="100" t="s">
        <v>6</v>
      </c>
      <c r="L2" s="101" t="s">
        <v>3</v>
      </c>
      <c r="M2" s="100" t="s">
        <v>7</v>
      </c>
      <c r="N2" s="101" t="s">
        <v>3</v>
      </c>
      <c r="O2" s="110" t="s">
        <v>8</v>
      </c>
      <c r="P2" s="101" t="s">
        <v>3</v>
      </c>
      <c r="Q2" s="100" t="s">
        <v>9</v>
      </c>
      <c r="R2" s="101" t="s">
        <v>3</v>
      </c>
      <c r="S2" s="100" t="s">
        <v>10</v>
      </c>
      <c r="T2" s="101" t="s">
        <v>3</v>
      </c>
      <c r="U2" s="100" t="s">
        <v>11</v>
      </c>
      <c r="V2" s="101" t="s">
        <v>3</v>
      </c>
      <c r="W2" s="100" t="s">
        <v>12</v>
      </c>
      <c r="X2" s="101" t="s">
        <v>3</v>
      </c>
      <c r="Y2" s="100" t="s">
        <v>13</v>
      </c>
      <c r="Z2" s="101" t="s">
        <v>3</v>
      </c>
      <c r="AA2" s="110" t="s">
        <v>14</v>
      </c>
      <c r="AB2" s="115" t="s">
        <v>3</v>
      </c>
      <c r="AC2" s="100" t="s">
        <v>15</v>
      </c>
      <c r="AD2" s="101" t="s">
        <v>3</v>
      </c>
      <c r="AE2" s="100" t="s">
        <v>16</v>
      </c>
      <c r="AF2" s="101" t="s">
        <v>3</v>
      </c>
      <c r="AG2" s="100" t="s">
        <v>17</v>
      </c>
      <c r="AH2" s="101" t="s">
        <v>3</v>
      </c>
      <c r="AI2" s="100" t="s">
        <v>18</v>
      </c>
      <c r="AJ2" s="101" t="s">
        <v>3</v>
      </c>
      <c r="AK2" s="100" t="s">
        <v>19</v>
      </c>
      <c r="AL2" s="101" t="s">
        <v>3</v>
      </c>
      <c r="AM2" s="100" t="s">
        <v>20</v>
      </c>
      <c r="AN2" s="101" t="s">
        <v>3</v>
      </c>
      <c r="AO2" s="100" t="s">
        <v>21</v>
      </c>
      <c r="AP2" s="101" t="s">
        <v>3</v>
      </c>
      <c r="AQ2" s="100" t="s">
        <v>22</v>
      </c>
      <c r="AR2" s="4" t="s">
        <v>3</v>
      </c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57" customHeight="1">
      <c r="A3" s="140" t="s">
        <v>23</v>
      </c>
      <c r="B3" s="141"/>
      <c r="C3" s="141"/>
      <c r="D3" s="3"/>
      <c r="E3" s="142">
        <f>E130</f>
        <v>0</v>
      </c>
      <c r="F3" s="123"/>
      <c r="G3" s="120">
        <f>G130</f>
        <v>0</v>
      </c>
      <c r="H3" s="121"/>
      <c r="I3" s="120">
        <f>I130</f>
        <v>0</v>
      </c>
      <c r="J3" s="121"/>
      <c r="K3" s="120">
        <f>K130</f>
        <v>0</v>
      </c>
      <c r="L3" s="121"/>
      <c r="M3" s="120">
        <f>M130</f>
        <v>0</v>
      </c>
      <c r="N3" s="121"/>
      <c r="O3" s="120">
        <f>O130</f>
        <v>0</v>
      </c>
      <c r="P3" s="121"/>
      <c r="Q3" s="120">
        <f>Q130</f>
        <v>0</v>
      </c>
      <c r="R3" s="121"/>
      <c r="S3" s="122">
        <f>S130</f>
        <v>0</v>
      </c>
      <c r="T3" s="123"/>
      <c r="U3" s="122">
        <f>U130</f>
        <v>0</v>
      </c>
      <c r="V3" s="123"/>
      <c r="W3" s="120">
        <f>W130</f>
        <v>0</v>
      </c>
      <c r="X3" s="121"/>
      <c r="Y3" s="120">
        <f>Y130</f>
        <v>0</v>
      </c>
      <c r="Z3" s="121"/>
      <c r="AA3" s="120">
        <f>AA130</f>
        <v>0</v>
      </c>
      <c r="AB3" s="121"/>
      <c r="AC3" s="122">
        <f>AC130</f>
        <v>0</v>
      </c>
      <c r="AD3" s="123"/>
      <c r="AE3" s="120">
        <f>AE130</f>
        <v>0</v>
      </c>
      <c r="AF3" s="121"/>
      <c r="AG3" s="120">
        <f>AG130</f>
        <v>0</v>
      </c>
      <c r="AH3" s="121"/>
      <c r="AI3" s="120">
        <f>AI130</f>
        <v>0</v>
      </c>
      <c r="AJ3" s="121"/>
      <c r="AK3" s="120">
        <f>AK130</f>
        <v>0</v>
      </c>
      <c r="AL3" s="121"/>
      <c r="AM3" s="120">
        <f>AM130</f>
        <v>0</v>
      </c>
      <c r="AN3" s="121"/>
      <c r="AO3" s="122">
        <f>AO130</f>
        <v>0</v>
      </c>
      <c r="AP3" s="123"/>
      <c r="AQ3" s="122">
        <f>AQ130</f>
        <v>0</v>
      </c>
      <c r="AR3" s="123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28.5" customHeight="1">
      <c r="A4" s="124" t="s">
        <v>24</v>
      </c>
      <c r="B4" s="125"/>
      <c r="C4" s="125"/>
      <c r="D4" s="75"/>
      <c r="E4" s="6"/>
      <c r="F4" s="7"/>
      <c r="G4" s="6"/>
      <c r="H4" s="7"/>
      <c r="I4" s="6"/>
      <c r="J4" s="7"/>
      <c r="K4" s="6"/>
      <c r="L4" s="7"/>
      <c r="M4" s="6"/>
      <c r="N4" s="7"/>
      <c r="O4" s="6"/>
      <c r="P4" s="7"/>
      <c r="Q4" s="6"/>
      <c r="R4" s="7"/>
      <c r="S4" s="6"/>
      <c r="T4" s="7"/>
      <c r="U4" s="6"/>
      <c r="V4" s="7"/>
      <c r="W4" s="6"/>
      <c r="X4" s="7"/>
      <c r="Y4" s="6"/>
      <c r="Z4" s="7"/>
      <c r="AA4" s="6"/>
      <c r="AB4" s="7"/>
      <c r="AC4" s="6"/>
      <c r="AD4" s="7"/>
      <c r="AE4" s="6"/>
      <c r="AF4" s="7"/>
      <c r="AG4" s="6"/>
      <c r="AH4" s="7"/>
      <c r="AI4" s="6"/>
      <c r="AJ4" s="7"/>
      <c r="AK4" s="6"/>
      <c r="AL4" s="7"/>
      <c r="AM4" s="6"/>
      <c r="AN4" s="7"/>
      <c r="AO4" s="6"/>
      <c r="AP4" s="7"/>
      <c r="AQ4" s="6"/>
      <c r="AR4" s="7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12.75" customHeight="1">
      <c r="A5" s="76" t="s">
        <v>25</v>
      </c>
      <c r="B5" s="77"/>
      <c r="C5" s="77"/>
      <c r="D5" s="78"/>
      <c r="E5" s="77"/>
      <c r="F5" s="79"/>
      <c r="G5" s="80"/>
      <c r="H5" s="81"/>
      <c r="I5" s="80"/>
      <c r="J5" s="81"/>
      <c r="K5" s="80"/>
      <c r="L5" s="81"/>
      <c r="M5" s="80"/>
      <c r="N5" s="81"/>
      <c r="O5" s="82"/>
      <c r="P5" s="81"/>
      <c r="Q5" s="80"/>
      <c r="R5" s="81"/>
      <c r="S5" s="80"/>
      <c r="T5" s="81"/>
      <c r="U5" s="80"/>
      <c r="V5" s="81"/>
      <c r="W5" s="80"/>
      <c r="X5" s="81"/>
      <c r="Y5" s="80"/>
      <c r="Z5" s="81"/>
      <c r="AA5" s="80"/>
      <c r="AB5" s="81"/>
      <c r="AC5" s="80"/>
      <c r="AD5" s="81"/>
      <c r="AE5" s="80"/>
      <c r="AF5" s="81"/>
      <c r="AG5" s="80"/>
      <c r="AH5" s="81"/>
      <c r="AI5" s="80"/>
      <c r="AJ5" s="81"/>
      <c r="AK5" s="80"/>
      <c r="AL5" s="81"/>
      <c r="AM5" s="80"/>
      <c r="AN5" s="81"/>
      <c r="AO5" s="80"/>
      <c r="AP5" s="81"/>
      <c r="AQ5" s="80"/>
      <c r="AR5" s="81"/>
    </row>
    <row r="6" spans="1:64" ht="12.75">
      <c r="A6" t="s">
        <v>26</v>
      </c>
      <c r="B6" s="95" t="s">
        <v>27</v>
      </c>
      <c r="C6" s="96"/>
      <c r="D6" s="83"/>
      <c r="E6" s="102" t="s">
        <v>28</v>
      </c>
      <c r="F6" s="103" t="str">
        <f t="array" ref="F6:F46">IF(ISBLANK($C$6:$C$46), "", IF(EXACT($C$6:$C$46, E6:E46), 3, IF(SIGN(LEFT($C$6:$C$46, 1) - RIGHT($C$6:$C$46, 1)) = SIGN(LEFT(E6:E46, 1) - RIGHT(E6:E46, 1)), 1, 0)))</f>
        <v/>
      </c>
      <c r="G6" s="102" t="s">
        <v>29</v>
      </c>
      <c r="H6" s="103" t="str">
        <f t="array" ref="H6:H46">IF(ISBLANK($C$6:$C$46), "", IF(EXACT($C$6:$C$46, G6:G46), 3, IF(SIGN(LEFT($C$6:$C$46, 1) - RIGHT($C$6:$C$46, 1)) = SIGN(LEFT(G6:G46, 1) - RIGHT(G6:G46, 1)), 1, 0)))</f>
        <v/>
      </c>
      <c r="I6" s="102" t="s">
        <v>28</v>
      </c>
      <c r="J6" s="103" t="str">
        <f t="array" ref="J6:J46">IF(ISBLANK($C$6:$C$46), "", IF(EXACT($C$6:$C$46, I6:I46), 3, IF(SIGN(LEFT($C$6:$C$46, 1) - RIGHT($C$6:$C$46, 1)) = SIGN(LEFT(I6:I46, 1) - RIGHT(I6:I46, 1)), 1, 0)))</f>
        <v/>
      </c>
      <c r="K6" s="102" t="s">
        <v>28</v>
      </c>
      <c r="L6" s="103" t="str">
        <f t="array" ref="L6:L46">IF(ISBLANK($C$6:$C$46), "", IF(EXACT($C$6:$C$46, K6:K46), 3, IF(SIGN(LEFT($C$6:$C$46, 1) - RIGHT($C$6:$C$46, 1)) = SIGN(LEFT(K6:K46, 1) - RIGHT(K6:K46, 1)), 1, 0)))</f>
        <v/>
      </c>
      <c r="M6" s="102" t="s">
        <v>30</v>
      </c>
      <c r="N6" s="103" t="str">
        <f t="array" ref="N6:N46">IF(ISBLANK($C$6:$C$46), "", IF(EXACT($C$6:$C$46, M6:M46), 3, IF(SIGN(LEFT($C$6:$C$46, 1) - RIGHT($C$6:$C$46, 1)) = SIGN(LEFT(M6:M46, 1) - RIGHT(M6:M46, 1)), 1, 0)))</f>
        <v/>
      </c>
      <c r="O6" s="96" t="s">
        <v>28</v>
      </c>
      <c r="P6" s="103" t="str">
        <f t="array" ref="P6:P46">IF(ISBLANK($C$6:$C$46), "", IF(EXACT($C$6:$C$46, O6:O46), 3, IF(SIGN(LEFT($C$6:$C$46, 1) - RIGHT($C$6:$C$46, 1)) = SIGN(LEFT(O6:O46, 1) - RIGHT(O6:O46, 1)), 1, 0)))</f>
        <v/>
      </c>
      <c r="Q6" s="102" t="s">
        <v>28</v>
      </c>
      <c r="R6" s="103" t="str">
        <f t="array" ref="R6:R46">IF(ISBLANK($C$6:$C$46), "", IF(EXACT($C$6:$C$46, Q6:Q46), 3, IF(SIGN(LEFT($C$6:$C$46, 1) - RIGHT($C$6:$C$46, 1)) = SIGN(LEFT(Q6:Q46, 1) - RIGHT(Q6:Q46, 1)), 1, 0)))</f>
        <v/>
      </c>
      <c r="S6" s="102" t="s">
        <v>31</v>
      </c>
      <c r="T6" s="103" t="str">
        <f t="array" ref="T6:T46">IF(ISBLANK($C$6:$C$46), "", IF(EXACT($C$6:$C$46, S6:S46), 3, IF(SIGN(LEFT($C$6:$C$46, 1) - RIGHT($C$6:$C$46, 1)) = SIGN(LEFT(S6:S46, 1) - RIGHT(S6:S46, 1)), 1, 0)))</f>
        <v/>
      </c>
      <c r="U6" s="102" t="s">
        <v>32</v>
      </c>
      <c r="V6" s="103" t="str">
        <f t="array" ref="V6:V46">IF(ISBLANK($C$6:$C$46), "", IF(EXACT($C$6:$C$46, U6:U46), 3, IF(SIGN(LEFT($C$6:$C$46, 1) - RIGHT($C$6:$C$46, 1)) = SIGN(LEFT(U6:U46, 1) - RIGHT(U6:U46, 1)), 1, 0)))</f>
        <v/>
      </c>
      <c r="W6" s="102" t="s">
        <v>28</v>
      </c>
      <c r="X6" s="103" t="str">
        <f t="array" ref="X6:X46">IF(ISBLANK($C$6:$C$46), "", IF(EXACT($C$6:$C$46, W6:W46), 3, IF(SIGN(LEFT($C$6:$C$46, 1) - RIGHT($C$6:$C$46, 1)) = SIGN(LEFT(W6:W46, 1) - RIGHT(W6:W46, 1)), 1, 0)))</f>
        <v/>
      </c>
      <c r="Y6" s="102" t="s">
        <v>29</v>
      </c>
      <c r="Z6" s="103" t="str">
        <f t="array" ref="Z6:Z46">IF(ISBLANK($C$6:$C$46), "", IF(EXACT($C$6:$C$46, Y6:Y46), 3, IF(SIGN(LEFT($C$6:$C$46, 1) - RIGHT($C$6:$C$46, 1)) = SIGN(LEFT(Y6:Y46, 1) - RIGHT(Y6:Y46, 1)), 1, 0)))</f>
        <v/>
      </c>
      <c r="AA6" s="96" t="s">
        <v>28</v>
      </c>
      <c r="AB6" s="116" t="str">
        <f t="array" ref="AB6:AB46">IF(ISBLANK($C$6:$C$46), "", IF(EXACT($C$6:$C$46, AA6:AA46), 3, IF(SIGN(LEFT($C$6:$C$46, 1) - RIGHT($C$6:$C$46, 1)) = SIGN(LEFT(AA6:AA46, 1) - RIGHT(AA6:AA46, 1)), 1, 0)))</f>
        <v/>
      </c>
      <c r="AC6" s="102" t="s">
        <v>28</v>
      </c>
      <c r="AD6" s="103" t="str">
        <f t="array" ref="AD6:AD46">IF(ISBLANK($C$6:$C$46), "", IF(EXACT($C$6:$C$46, AC6:AC46), 3, IF(SIGN(LEFT($C$6:$C$46, 1) - RIGHT($C$6:$C$46, 1)) = SIGN(LEFT(AC6:AC46, 1) - RIGHT(AC6:AC46, 1)), 1, 0)))</f>
        <v/>
      </c>
      <c r="AE6" s="102" t="s">
        <v>28</v>
      </c>
      <c r="AF6" s="103" t="str">
        <f t="array" ref="AF6:AF46">IF(ISBLANK($C$6:$C$46), "", IF(EXACT($C$6:$C$46, AE6:AE46), 3, IF(SIGN(LEFT($C$6:$C$46, 1) - RIGHT($C$6:$C$46, 1)) = SIGN(LEFT(AE6:AE46, 1) - RIGHT(AE6:AE46, 1)), 1, 0)))</f>
        <v/>
      </c>
      <c r="AG6" s="102" t="s">
        <v>28</v>
      </c>
      <c r="AH6" s="103" t="str">
        <f t="array" ref="AH6:AH46">IF(ISBLANK($C$6:$C$46), "", IF(EXACT($C$6:$C$46, AG6:AG46), 3, IF(SIGN(LEFT($C$6:$C$46, 1) - RIGHT($C$6:$C$46, 1)) = SIGN(LEFT(AG6:AG46, 1) - RIGHT(AG6:AG46, 1)), 1, 0)))</f>
        <v/>
      </c>
      <c r="AI6" s="102" t="s">
        <v>28</v>
      </c>
      <c r="AJ6" s="103" t="str">
        <f t="array" ref="AJ6:AJ46">IF(ISBLANK($C$6:$C$46), "", IF(EXACT($C$6:$C$46, AI6:AI46), 3, IF(SIGN(LEFT($C$6:$C$46, 1) - RIGHT($C$6:$C$46, 1)) = SIGN(LEFT(AI6:AI46, 1) - RIGHT(AI6:AI46, 1)), 1, 0)))</f>
        <v/>
      </c>
      <c r="AK6" s="102" t="s">
        <v>28</v>
      </c>
      <c r="AL6" s="103" t="str">
        <f t="array" ref="AL6:AL46">IF(ISBLANK($C$6:$C$46), "", IF(EXACT($C$6:$C$46, AK6:AK46), 3, IF(SIGN(LEFT($C$6:$C$46, 1) - RIGHT($C$6:$C$46, 1)) = SIGN(LEFT(AK6:AK46, 1) - RIGHT(AK6:AK46, 1)), 1, 0)))</f>
        <v/>
      </c>
      <c r="AM6" s="102" t="s">
        <v>28</v>
      </c>
      <c r="AN6" s="103" t="str">
        <f t="array" ref="AN6:AN46">IF(ISBLANK($C$6:$C$46), "", IF(EXACT($C$6:$C$46, AM6:AM46), 3, IF(SIGN(LEFT($C$6:$C$46, 1) - RIGHT($C$6:$C$46, 1)) = SIGN(LEFT(AM6:AM46, 1) - RIGHT(AM6:AM46, 1)), 1, 0)))</f>
        <v/>
      </c>
      <c r="AO6" s="102" t="s">
        <v>33</v>
      </c>
      <c r="AP6" s="103" t="str">
        <f t="array" ref="AP6:AP46">IF(ISBLANK($C$6:$C$46), "", IF(EXACT($C$6:$C$46, AO6:AO46), 3, IF(SIGN(LEFT($C$6:$C$46, 1) - RIGHT($C$6:$C$46, 1)) = SIGN(LEFT(AO6:AO46, 1) - RIGHT(AO6:AO46, 1)), 1, 0)))</f>
        <v/>
      </c>
      <c r="AQ6" s="102" t="s">
        <v>32</v>
      </c>
      <c r="AR6" s="10" t="str">
        <f t="array" ref="AR6:AR46">IF(ISBLANK($C$6:$C$46), "", IF(EXACT($C$6:$C$46, AQ6:AQ46), 3, IF(SIGN(LEFT($C$6:$C$46, 1) - RIGHT($C$6:$C$46, 1)) = SIGN(LEFT(AQ6:AQ46, 1) - RIGHT(AQ6:AQ46, 1)), 1, 0)))</f>
        <v/>
      </c>
    </row>
    <row r="7" spans="1:64" ht="12.75" customHeight="1">
      <c r="A7" t="s">
        <v>34</v>
      </c>
      <c r="B7" s="95" t="s">
        <v>35</v>
      </c>
      <c r="C7" s="96"/>
      <c r="D7" s="83"/>
      <c r="E7" s="102" t="s">
        <v>32</v>
      </c>
      <c r="F7" s="103" t="str">
        <v/>
      </c>
      <c r="G7" s="102" t="s">
        <v>36</v>
      </c>
      <c r="H7" s="103" t="str">
        <v/>
      </c>
      <c r="I7" s="102" t="s">
        <v>36</v>
      </c>
      <c r="J7" s="103" t="str">
        <v/>
      </c>
      <c r="K7" s="102" t="s">
        <v>37</v>
      </c>
      <c r="L7" s="103" t="str">
        <v/>
      </c>
      <c r="M7" s="102" t="s">
        <v>38</v>
      </c>
      <c r="N7" s="103" t="str">
        <v/>
      </c>
      <c r="O7" s="96" t="s">
        <v>28</v>
      </c>
      <c r="P7" s="103" t="str">
        <v/>
      </c>
      <c r="Q7" s="102" t="s">
        <v>36</v>
      </c>
      <c r="R7" s="103" t="str">
        <v/>
      </c>
      <c r="S7" s="102" t="s">
        <v>36</v>
      </c>
      <c r="T7" s="103" t="str">
        <v/>
      </c>
      <c r="U7" s="102" t="s">
        <v>30</v>
      </c>
      <c r="V7" s="103" t="str">
        <v/>
      </c>
      <c r="W7" s="102" t="s">
        <v>36</v>
      </c>
      <c r="X7" s="103" t="str">
        <v/>
      </c>
      <c r="Y7" s="102" t="s">
        <v>31</v>
      </c>
      <c r="Z7" s="103" t="str">
        <v/>
      </c>
      <c r="AA7" s="96" t="s">
        <v>37</v>
      </c>
      <c r="AB7" s="116" t="str">
        <v/>
      </c>
      <c r="AC7" s="102" t="s">
        <v>39</v>
      </c>
      <c r="AD7" s="103" t="str">
        <v/>
      </c>
      <c r="AE7" s="102" t="s">
        <v>39</v>
      </c>
      <c r="AF7" s="103" t="str">
        <v/>
      </c>
      <c r="AG7" s="102" t="s">
        <v>36</v>
      </c>
      <c r="AH7" s="103" t="str">
        <v/>
      </c>
      <c r="AI7" s="102" t="s">
        <v>32</v>
      </c>
      <c r="AJ7" s="103" t="str">
        <v/>
      </c>
      <c r="AK7" s="102" t="s">
        <v>39</v>
      </c>
      <c r="AL7" s="103" t="str">
        <v/>
      </c>
      <c r="AM7" s="102" t="s">
        <v>36</v>
      </c>
      <c r="AN7" s="103" t="str">
        <v/>
      </c>
      <c r="AO7" s="102" t="s">
        <v>36</v>
      </c>
      <c r="AP7" s="103" t="str">
        <v/>
      </c>
      <c r="AQ7" s="102" t="s">
        <v>36</v>
      </c>
      <c r="AR7" s="10" t="str">
        <v/>
      </c>
    </row>
    <row r="8" spans="1:64" ht="12.75" customHeight="1">
      <c r="A8" t="s">
        <v>40</v>
      </c>
      <c r="B8" s="95" t="s">
        <v>41</v>
      </c>
      <c r="C8" s="96"/>
      <c r="D8" s="83"/>
      <c r="E8" s="102" t="s">
        <v>38</v>
      </c>
      <c r="F8" s="103" t="str">
        <v/>
      </c>
      <c r="G8" s="102" t="s">
        <v>32</v>
      </c>
      <c r="H8" s="103" t="str">
        <v/>
      </c>
      <c r="I8" s="102" t="s">
        <v>29</v>
      </c>
      <c r="J8" s="103" t="str">
        <v/>
      </c>
      <c r="K8" s="102" t="s">
        <v>28</v>
      </c>
      <c r="L8" s="103" t="str">
        <v/>
      </c>
      <c r="M8" s="102" t="s">
        <v>32</v>
      </c>
      <c r="N8" s="103" t="str">
        <v/>
      </c>
      <c r="O8" s="96" t="s">
        <v>28</v>
      </c>
      <c r="P8" s="103" t="str">
        <v/>
      </c>
      <c r="Q8" s="102" t="s">
        <v>39</v>
      </c>
      <c r="R8" s="103" t="str">
        <v/>
      </c>
      <c r="S8" s="102" t="s">
        <v>33</v>
      </c>
      <c r="T8" s="103" t="str">
        <v/>
      </c>
      <c r="U8" s="102" t="s">
        <v>28</v>
      </c>
      <c r="V8" s="103" t="str">
        <v/>
      </c>
      <c r="W8" s="102" t="s">
        <v>28</v>
      </c>
      <c r="X8" s="103" t="str">
        <v/>
      </c>
      <c r="Y8" s="102" t="s">
        <v>33</v>
      </c>
      <c r="Z8" s="103" t="str">
        <v/>
      </c>
      <c r="AA8" s="96" t="s">
        <v>38</v>
      </c>
      <c r="AB8" s="116" t="str">
        <v/>
      </c>
      <c r="AC8" s="102" t="s">
        <v>28</v>
      </c>
      <c r="AD8" s="103" t="str">
        <v/>
      </c>
      <c r="AE8" s="102" t="s">
        <v>28</v>
      </c>
      <c r="AF8" s="103" t="str">
        <v/>
      </c>
      <c r="AG8" s="102" t="s">
        <v>28</v>
      </c>
      <c r="AH8" s="103" t="str">
        <v/>
      </c>
      <c r="AI8" s="102" t="s">
        <v>38</v>
      </c>
      <c r="AJ8" s="103" t="str">
        <v/>
      </c>
      <c r="AK8" s="102" t="s">
        <v>39</v>
      </c>
      <c r="AL8" s="103" t="str">
        <v/>
      </c>
      <c r="AM8" s="102" t="s">
        <v>38</v>
      </c>
      <c r="AN8" s="103" t="str">
        <v/>
      </c>
      <c r="AO8" s="102" t="s">
        <v>28</v>
      </c>
      <c r="AP8" s="103" t="str">
        <v/>
      </c>
      <c r="AQ8" s="102" t="s">
        <v>28</v>
      </c>
      <c r="AR8" s="10" t="str">
        <v/>
      </c>
    </row>
    <row r="9" spans="1:64" ht="12.75" customHeight="1">
      <c r="A9" t="s">
        <v>42</v>
      </c>
      <c r="B9" s="95" t="s">
        <v>43</v>
      </c>
      <c r="C9" s="96"/>
      <c r="D9" s="83"/>
      <c r="E9" s="102" t="s">
        <v>44</v>
      </c>
      <c r="F9" s="103" t="str">
        <v/>
      </c>
      <c r="G9" s="102" t="s">
        <v>39</v>
      </c>
      <c r="H9" s="103" t="str">
        <v/>
      </c>
      <c r="I9" s="102" t="s">
        <v>37</v>
      </c>
      <c r="J9" s="103" t="str">
        <v/>
      </c>
      <c r="K9" s="102" t="s">
        <v>37</v>
      </c>
      <c r="L9" s="103" t="str">
        <v/>
      </c>
      <c r="M9" s="102" t="s">
        <v>30</v>
      </c>
      <c r="N9" s="103" t="str">
        <v/>
      </c>
      <c r="O9" s="96" t="s">
        <v>28</v>
      </c>
      <c r="P9" s="103" t="str">
        <v/>
      </c>
      <c r="Q9" s="102" t="s">
        <v>45</v>
      </c>
      <c r="R9" s="103" t="str">
        <v/>
      </c>
      <c r="S9" s="102" t="s">
        <v>38</v>
      </c>
      <c r="T9" s="103" t="str">
        <v/>
      </c>
      <c r="U9" s="102" t="s">
        <v>30</v>
      </c>
      <c r="V9" s="103" t="str">
        <v/>
      </c>
      <c r="W9" s="102" t="s">
        <v>36</v>
      </c>
      <c r="X9" s="103" t="str">
        <v/>
      </c>
      <c r="Y9" s="102" t="s">
        <v>36</v>
      </c>
      <c r="Z9" s="103" t="str">
        <v/>
      </c>
      <c r="AA9" s="96" t="s">
        <v>28</v>
      </c>
      <c r="AB9" s="116" t="str">
        <v/>
      </c>
      <c r="AC9" s="102" t="s">
        <v>39</v>
      </c>
      <c r="AD9" s="103" t="str">
        <v/>
      </c>
      <c r="AE9" s="102" t="s">
        <v>39</v>
      </c>
      <c r="AF9" s="103" t="str">
        <v/>
      </c>
      <c r="AG9" s="102" t="s">
        <v>39</v>
      </c>
      <c r="AH9" s="103" t="str">
        <v/>
      </c>
      <c r="AI9" s="102" t="s">
        <v>37</v>
      </c>
      <c r="AJ9" s="103" t="str">
        <v/>
      </c>
      <c r="AK9" s="102" t="s">
        <v>36</v>
      </c>
      <c r="AL9" s="103" t="str">
        <v/>
      </c>
      <c r="AM9" s="102" t="s">
        <v>31</v>
      </c>
      <c r="AN9" s="103" t="str">
        <v/>
      </c>
      <c r="AO9" s="102" t="s">
        <v>39</v>
      </c>
      <c r="AP9" s="103" t="str">
        <v/>
      </c>
      <c r="AQ9" s="102" t="s">
        <v>44</v>
      </c>
      <c r="AR9" s="10" t="str">
        <v/>
      </c>
    </row>
    <row r="10" spans="1:64" ht="12.75" customHeight="1">
      <c r="A10" t="s">
        <v>46</v>
      </c>
      <c r="B10" s="95" t="s">
        <v>47</v>
      </c>
      <c r="C10" s="96"/>
      <c r="D10" s="83"/>
      <c r="E10" s="102" t="s">
        <v>37</v>
      </c>
      <c r="F10" s="103" t="str">
        <v/>
      </c>
      <c r="G10" s="102" t="s">
        <v>39</v>
      </c>
      <c r="H10" s="103" t="str">
        <v/>
      </c>
      <c r="I10" s="102" t="s">
        <v>39</v>
      </c>
      <c r="J10" s="103" t="str">
        <v/>
      </c>
      <c r="K10" s="102" t="s">
        <v>44</v>
      </c>
      <c r="L10" s="103" t="str">
        <v/>
      </c>
      <c r="M10" s="102" t="s">
        <v>30</v>
      </c>
      <c r="N10" s="103" t="str">
        <v/>
      </c>
      <c r="O10" s="96" t="s">
        <v>44</v>
      </c>
      <c r="P10" s="103" t="str">
        <v/>
      </c>
      <c r="Q10" s="102" t="s">
        <v>30</v>
      </c>
      <c r="R10" s="103" t="str">
        <v/>
      </c>
      <c r="S10" s="102" t="s">
        <v>37</v>
      </c>
      <c r="T10" s="103" t="str">
        <v/>
      </c>
      <c r="U10" s="102" t="s">
        <v>37</v>
      </c>
      <c r="V10" s="103" t="str">
        <v/>
      </c>
      <c r="W10" s="102" t="s">
        <v>36</v>
      </c>
      <c r="X10" s="103" t="str">
        <v/>
      </c>
      <c r="Y10" s="102" t="s">
        <v>44</v>
      </c>
      <c r="Z10" s="103" t="str">
        <v/>
      </c>
      <c r="AA10" s="96" t="s">
        <v>36</v>
      </c>
      <c r="AB10" s="116" t="str">
        <v/>
      </c>
      <c r="AC10" s="102" t="s">
        <v>36</v>
      </c>
      <c r="AD10" s="103" t="str">
        <v/>
      </c>
      <c r="AE10" s="102" t="s">
        <v>37</v>
      </c>
      <c r="AF10" s="103" t="str">
        <v/>
      </c>
      <c r="AG10" s="102" t="s">
        <v>48</v>
      </c>
      <c r="AH10" s="103" t="str">
        <v/>
      </c>
      <c r="AI10" s="102" t="s">
        <v>48</v>
      </c>
      <c r="AJ10" s="103" t="str">
        <v/>
      </c>
      <c r="AK10" s="102" t="s">
        <v>31</v>
      </c>
      <c r="AL10" s="103" t="str">
        <v/>
      </c>
      <c r="AM10" s="102" t="s">
        <v>49</v>
      </c>
      <c r="AN10" s="103" t="str">
        <v/>
      </c>
      <c r="AO10" s="102" t="s">
        <v>48</v>
      </c>
      <c r="AP10" s="103" t="str">
        <v/>
      </c>
      <c r="AQ10" s="102" t="s">
        <v>36</v>
      </c>
      <c r="AR10" s="10" t="str">
        <v/>
      </c>
    </row>
    <row r="11" spans="1:64" ht="12.75" customHeight="1">
      <c r="A11" t="s">
        <v>46</v>
      </c>
      <c r="B11" s="97" t="s">
        <v>50</v>
      </c>
      <c r="C11" s="98"/>
      <c r="D11" s="83"/>
      <c r="E11" s="104" t="s">
        <v>36</v>
      </c>
      <c r="F11" s="105" t="str">
        <v/>
      </c>
      <c r="G11" s="104" t="s">
        <v>39</v>
      </c>
      <c r="H11" s="105" t="str">
        <v/>
      </c>
      <c r="I11" s="104" t="s">
        <v>39</v>
      </c>
      <c r="J11" s="105" t="str">
        <v/>
      </c>
      <c r="K11" s="104" t="s">
        <v>32</v>
      </c>
      <c r="L11" s="105" t="str">
        <v/>
      </c>
      <c r="M11" s="104" t="s">
        <v>39</v>
      </c>
      <c r="N11" s="105" t="str">
        <v/>
      </c>
      <c r="O11" s="98" t="s">
        <v>44</v>
      </c>
      <c r="P11" s="105" t="str">
        <v/>
      </c>
      <c r="Q11" s="104" t="s">
        <v>51</v>
      </c>
      <c r="R11" s="105" t="str">
        <v/>
      </c>
      <c r="S11" s="104" t="s">
        <v>32</v>
      </c>
      <c r="T11" s="105" t="str">
        <v/>
      </c>
      <c r="U11" s="104" t="s">
        <v>30</v>
      </c>
      <c r="V11" s="105" t="str">
        <v/>
      </c>
      <c r="W11" s="104" t="s">
        <v>39</v>
      </c>
      <c r="X11" s="105" t="str">
        <v/>
      </c>
      <c r="Y11" s="104" t="s">
        <v>36</v>
      </c>
      <c r="Z11" s="105" t="str">
        <v/>
      </c>
      <c r="AA11" s="98" t="s">
        <v>39</v>
      </c>
      <c r="AB11" s="117" t="str">
        <v/>
      </c>
      <c r="AC11" s="104" t="s">
        <v>39</v>
      </c>
      <c r="AD11" s="105" t="str">
        <v/>
      </c>
      <c r="AE11" s="104" t="s">
        <v>39</v>
      </c>
      <c r="AF11" s="105" t="str">
        <v/>
      </c>
      <c r="AG11" s="104" t="s">
        <v>36</v>
      </c>
      <c r="AH11" s="105" t="str">
        <v/>
      </c>
      <c r="AI11" s="104" t="s">
        <v>36</v>
      </c>
      <c r="AJ11" s="105" t="str">
        <v/>
      </c>
      <c r="AK11" s="104" t="s">
        <v>44</v>
      </c>
      <c r="AL11" s="105" t="str">
        <v/>
      </c>
      <c r="AM11" s="104" t="s">
        <v>39</v>
      </c>
      <c r="AN11" s="105" t="str">
        <v/>
      </c>
      <c r="AO11" s="104" t="s">
        <v>39</v>
      </c>
      <c r="AP11" s="105" t="str">
        <v/>
      </c>
      <c r="AQ11" s="104" t="s">
        <v>39</v>
      </c>
      <c r="AR11" s="12" t="str">
        <v/>
      </c>
    </row>
    <row r="12" spans="1:64" ht="12.75" customHeight="1">
      <c r="A12" s="76" t="s">
        <v>52</v>
      </c>
      <c r="B12" s="77"/>
      <c r="C12" s="77"/>
      <c r="D12" s="78"/>
      <c r="E12" s="106"/>
      <c r="F12" s="107" t="str">
        <v/>
      </c>
      <c r="G12" s="108"/>
      <c r="H12" s="109" t="str">
        <v/>
      </c>
      <c r="I12" s="108"/>
      <c r="J12" s="109" t="str">
        <v/>
      </c>
      <c r="K12" s="108"/>
      <c r="L12" s="109" t="str">
        <v/>
      </c>
      <c r="M12" s="108"/>
      <c r="N12" s="109" t="str">
        <v/>
      </c>
      <c r="O12" s="111"/>
      <c r="P12" s="109" t="str">
        <v/>
      </c>
      <c r="Q12" s="108"/>
      <c r="R12" s="109" t="str">
        <v/>
      </c>
      <c r="S12" s="108"/>
      <c r="T12" s="109" t="str">
        <v/>
      </c>
      <c r="U12" s="108"/>
      <c r="V12" s="109" t="str">
        <v/>
      </c>
      <c r="W12" s="108"/>
      <c r="X12" s="109" t="str">
        <v/>
      </c>
      <c r="Y12" s="108"/>
      <c r="Z12" s="109" t="str">
        <v/>
      </c>
      <c r="AA12" s="111"/>
      <c r="AB12" s="118" t="str">
        <v/>
      </c>
      <c r="AC12" s="108"/>
      <c r="AD12" s="109" t="str">
        <v/>
      </c>
      <c r="AE12" s="108"/>
      <c r="AF12" s="109" t="str">
        <v/>
      </c>
      <c r="AG12" s="108"/>
      <c r="AH12" s="109" t="str">
        <v/>
      </c>
      <c r="AI12" s="108"/>
      <c r="AJ12" s="109" t="str">
        <v/>
      </c>
      <c r="AK12" s="108"/>
      <c r="AL12" s="109" t="str">
        <v/>
      </c>
      <c r="AM12" s="108"/>
      <c r="AN12" s="109" t="str">
        <v/>
      </c>
      <c r="AO12" s="108"/>
      <c r="AP12" s="109" t="str">
        <v/>
      </c>
      <c r="AQ12" s="108"/>
      <c r="AR12" s="81" t="str">
        <v/>
      </c>
    </row>
    <row r="13" spans="1:64" ht="12.75" customHeight="1">
      <c r="A13" s="99" t="s">
        <v>53</v>
      </c>
      <c r="B13" s="95" t="s">
        <v>54</v>
      </c>
      <c r="C13" s="96"/>
      <c r="D13" s="83"/>
      <c r="E13" s="102" t="s">
        <v>38</v>
      </c>
      <c r="F13" s="103" t="str">
        <v/>
      </c>
      <c r="G13" s="102" t="s">
        <v>38</v>
      </c>
      <c r="H13" s="103" t="str">
        <v/>
      </c>
      <c r="I13" s="102" t="s">
        <v>39</v>
      </c>
      <c r="J13" s="103" t="str">
        <v/>
      </c>
      <c r="K13" s="102" t="s">
        <v>39</v>
      </c>
      <c r="L13" s="103" t="str">
        <v/>
      </c>
      <c r="M13" s="102" t="s">
        <v>29</v>
      </c>
      <c r="N13" s="103" t="str">
        <v/>
      </c>
      <c r="O13" s="96" t="s">
        <v>44</v>
      </c>
      <c r="P13" s="103" t="str">
        <v/>
      </c>
      <c r="Q13" s="102" t="s">
        <v>30</v>
      </c>
      <c r="R13" s="103" t="str">
        <v/>
      </c>
      <c r="S13" s="102" t="s">
        <v>33</v>
      </c>
      <c r="T13" s="103" t="str">
        <v/>
      </c>
      <c r="U13" s="102" t="s">
        <v>39</v>
      </c>
      <c r="V13" s="103" t="str">
        <v/>
      </c>
      <c r="W13" s="102" t="s">
        <v>38</v>
      </c>
      <c r="X13" s="103" t="str">
        <v/>
      </c>
      <c r="Y13" s="102" t="s">
        <v>38</v>
      </c>
      <c r="Z13" s="103" t="str">
        <v/>
      </c>
      <c r="AA13" s="96" t="s">
        <v>39</v>
      </c>
      <c r="AB13" s="116" t="str">
        <v/>
      </c>
      <c r="AC13" s="102" t="s">
        <v>38</v>
      </c>
      <c r="AD13" s="103" t="str">
        <v/>
      </c>
      <c r="AE13" s="102" t="s">
        <v>32</v>
      </c>
      <c r="AF13" s="103" t="str">
        <v/>
      </c>
      <c r="AG13" s="102" t="s">
        <v>32</v>
      </c>
      <c r="AH13" s="103" t="str">
        <v/>
      </c>
      <c r="AI13" s="102" t="s">
        <v>38</v>
      </c>
      <c r="AJ13" s="103" t="str">
        <v/>
      </c>
      <c r="AK13" s="102" t="s">
        <v>55</v>
      </c>
      <c r="AL13" s="103" t="str">
        <v/>
      </c>
      <c r="AM13" s="102" t="s">
        <v>38</v>
      </c>
      <c r="AN13" s="103" t="str">
        <v/>
      </c>
      <c r="AO13" s="102" t="s">
        <v>38</v>
      </c>
      <c r="AP13" s="103" t="str">
        <v/>
      </c>
      <c r="AQ13" s="102" t="s">
        <v>28</v>
      </c>
      <c r="AR13" s="10" t="str">
        <v/>
      </c>
    </row>
    <row r="14" spans="1:64" ht="12.75" customHeight="1">
      <c r="A14" s="99" t="s">
        <v>56</v>
      </c>
      <c r="B14" s="95" t="s">
        <v>57</v>
      </c>
      <c r="C14" s="96"/>
      <c r="D14" s="83"/>
      <c r="E14" s="102" t="s">
        <v>32</v>
      </c>
      <c r="F14" s="103" t="str">
        <v/>
      </c>
      <c r="G14" s="102" t="s">
        <v>32</v>
      </c>
      <c r="H14" s="103" t="str">
        <v/>
      </c>
      <c r="I14" s="102" t="s">
        <v>33</v>
      </c>
      <c r="J14" s="103" t="str">
        <v/>
      </c>
      <c r="K14" s="102" t="s">
        <v>29</v>
      </c>
      <c r="L14" s="103" t="str">
        <v/>
      </c>
      <c r="M14" s="102" t="s">
        <v>28</v>
      </c>
      <c r="N14" s="103" t="str">
        <v/>
      </c>
      <c r="O14" s="96" t="s">
        <v>44</v>
      </c>
      <c r="P14" s="103" t="str">
        <v/>
      </c>
      <c r="Q14" s="102" t="s">
        <v>33</v>
      </c>
      <c r="R14" s="103" t="str">
        <v/>
      </c>
      <c r="S14" s="102" t="s">
        <v>32</v>
      </c>
      <c r="T14" s="103" t="str">
        <v/>
      </c>
      <c r="U14" s="102" t="s">
        <v>32</v>
      </c>
      <c r="V14" s="103" t="str">
        <v/>
      </c>
      <c r="W14" s="102" t="s">
        <v>29</v>
      </c>
      <c r="X14" s="103" t="str">
        <v/>
      </c>
      <c r="Y14" s="102" t="s">
        <v>39</v>
      </c>
      <c r="Z14" s="103" t="str">
        <v/>
      </c>
      <c r="AA14" s="96" t="s">
        <v>45</v>
      </c>
      <c r="AB14" s="116" t="str">
        <v/>
      </c>
      <c r="AC14" s="102" t="s">
        <v>29</v>
      </c>
      <c r="AD14" s="103" t="str">
        <v/>
      </c>
      <c r="AE14" s="102" t="s">
        <v>28</v>
      </c>
      <c r="AF14" s="103" t="str">
        <v/>
      </c>
      <c r="AG14" s="102" t="s">
        <v>32</v>
      </c>
      <c r="AH14" s="103" t="str">
        <v/>
      </c>
      <c r="AI14" s="102" t="s">
        <v>32</v>
      </c>
      <c r="AJ14" s="103" t="str">
        <v/>
      </c>
      <c r="AK14" s="102" t="s">
        <v>28</v>
      </c>
      <c r="AL14" s="103" t="str">
        <v/>
      </c>
      <c r="AM14" s="102" t="s">
        <v>28</v>
      </c>
      <c r="AN14" s="103" t="str">
        <v/>
      </c>
      <c r="AO14" s="102" t="s">
        <v>29</v>
      </c>
      <c r="AP14" s="103" t="str">
        <v/>
      </c>
      <c r="AQ14" s="102" t="s">
        <v>28</v>
      </c>
      <c r="AR14" s="10" t="str">
        <v/>
      </c>
    </row>
    <row r="15" spans="1:64" ht="12.75" customHeight="1">
      <c r="A15" s="99" t="s">
        <v>58</v>
      </c>
      <c r="B15" s="95" t="s">
        <v>59</v>
      </c>
      <c r="C15" s="96"/>
      <c r="D15" s="83"/>
      <c r="E15" s="102" t="s">
        <v>33</v>
      </c>
      <c r="F15" s="103" t="str">
        <v/>
      </c>
      <c r="G15" s="102" t="s">
        <v>39</v>
      </c>
      <c r="H15" s="103" t="str">
        <v/>
      </c>
      <c r="I15" s="102" t="s">
        <v>38</v>
      </c>
      <c r="J15" s="103" t="str">
        <v/>
      </c>
      <c r="K15" s="102" t="s">
        <v>28</v>
      </c>
      <c r="L15" s="103" t="str">
        <v/>
      </c>
      <c r="M15" s="102" t="s">
        <v>38</v>
      </c>
      <c r="N15" s="103" t="str">
        <v/>
      </c>
      <c r="O15" s="96" t="s">
        <v>28</v>
      </c>
      <c r="P15" s="103" t="str">
        <v/>
      </c>
      <c r="Q15" s="102" t="s">
        <v>28</v>
      </c>
      <c r="R15" s="103" t="str">
        <v/>
      </c>
      <c r="S15" s="102" t="s">
        <v>37</v>
      </c>
      <c r="T15" s="103" t="str">
        <v/>
      </c>
      <c r="U15" s="102" t="s">
        <v>28</v>
      </c>
      <c r="V15" s="103" t="str">
        <v/>
      </c>
      <c r="W15" s="102" t="s">
        <v>28</v>
      </c>
      <c r="X15" s="103" t="str">
        <v/>
      </c>
      <c r="Y15" s="102" t="s">
        <v>29</v>
      </c>
      <c r="Z15" s="103" t="str">
        <v/>
      </c>
      <c r="AA15" s="96" t="s">
        <v>38</v>
      </c>
      <c r="AB15" s="116" t="str">
        <v/>
      </c>
      <c r="AC15" s="102" t="s">
        <v>28</v>
      </c>
      <c r="AD15" s="103" t="str">
        <v/>
      </c>
      <c r="AE15" s="102" t="s">
        <v>32</v>
      </c>
      <c r="AF15" s="103" t="str">
        <v/>
      </c>
      <c r="AG15" s="102" t="s">
        <v>32</v>
      </c>
      <c r="AH15" s="103" t="str">
        <v/>
      </c>
      <c r="AI15" s="102" t="s">
        <v>30</v>
      </c>
      <c r="AJ15" s="103" t="str">
        <v/>
      </c>
      <c r="AK15" s="102" t="s">
        <v>32</v>
      </c>
      <c r="AL15" s="103" t="str">
        <v/>
      </c>
      <c r="AM15" s="102" t="s">
        <v>38</v>
      </c>
      <c r="AN15" s="103" t="str">
        <v/>
      </c>
      <c r="AO15" s="102" t="s">
        <v>28</v>
      </c>
      <c r="AP15" s="103" t="str">
        <v/>
      </c>
      <c r="AQ15" s="102" t="s">
        <v>32</v>
      </c>
      <c r="AR15" s="10" t="str">
        <v/>
      </c>
    </row>
    <row r="16" spans="1:64" ht="12.75" customHeight="1">
      <c r="A16" s="99" t="s">
        <v>60</v>
      </c>
      <c r="B16" s="95" t="s">
        <v>61</v>
      </c>
      <c r="C16" s="96"/>
      <c r="D16" s="83"/>
      <c r="E16" s="102" t="s">
        <v>39</v>
      </c>
      <c r="F16" s="103" t="str">
        <v/>
      </c>
      <c r="G16" s="102" t="s">
        <v>30</v>
      </c>
      <c r="H16" s="103" t="str">
        <v/>
      </c>
      <c r="I16" s="102" t="s">
        <v>36</v>
      </c>
      <c r="J16" s="103" t="str">
        <v/>
      </c>
      <c r="K16" s="102" t="s">
        <v>39</v>
      </c>
      <c r="L16" s="103" t="str">
        <v/>
      </c>
      <c r="M16" s="102" t="s">
        <v>39</v>
      </c>
      <c r="N16" s="103" t="str">
        <v/>
      </c>
      <c r="O16" s="96" t="s">
        <v>28</v>
      </c>
      <c r="P16" s="103" t="str">
        <v/>
      </c>
      <c r="Q16" s="102" t="s">
        <v>30</v>
      </c>
      <c r="R16" s="103" t="str">
        <v/>
      </c>
      <c r="S16" s="102" t="s">
        <v>33</v>
      </c>
      <c r="T16" s="103" t="str">
        <v/>
      </c>
      <c r="U16" s="102" t="s">
        <v>30</v>
      </c>
      <c r="V16" s="103" t="str">
        <v/>
      </c>
      <c r="W16" s="102" t="s">
        <v>30</v>
      </c>
      <c r="X16" s="103" t="str">
        <v/>
      </c>
      <c r="Y16" s="102" t="s">
        <v>39</v>
      </c>
      <c r="Z16" s="103" t="str">
        <v/>
      </c>
      <c r="AA16" s="96" t="s">
        <v>38</v>
      </c>
      <c r="AB16" s="116" t="str">
        <v/>
      </c>
      <c r="AC16" s="102" t="s">
        <v>39</v>
      </c>
      <c r="AD16" s="103" t="str">
        <v/>
      </c>
      <c r="AE16" s="102" t="s">
        <v>39</v>
      </c>
      <c r="AF16" s="103" t="str">
        <v/>
      </c>
      <c r="AG16" s="102" t="s">
        <v>28</v>
      </c>
      <c r="AH16" s="103" t="str">
        <v/>
      </c>
      <c r="AI16" s="102" t="s">
        <v>39</v>
      </c>
      <c r="AJ16" s="103" t="str">
        <v/>
      </c>
      <c r="AK16" s="102" t="s">
        <v>39</v>
      </c>
      <c r="AL16" s="103" t="str">
        <v/>
      </c>
      <c r="AM16" s="102" t="s">
        <v>31</v>
      </c>
      <c r="AN16" s="103" t="str">
        <v/>
      </c>
      <c r="AO16" s="102" t="s">
        <v>38</v>
      </c>
      <c r="AP16" s="103" t="str">
        <v/>
      </c>
      <c r="AQ16" s="102" t="s">
        <v>38</v>
      </c>
      <c r="AR16" s="10" t="str">
        <v/>
      </c>
    </row>
    <row r="17" spans="1:44" ht="12.75" customHeight="1">
      <c r="A17" s="99" t="s">
        <v>62</v>
      </c>
      <c r="B17" s="95" t="s">
        <v>63</v>
      </c>
      <c r="C17" s="96"/>
      <c r="D17" s="83"/>
      <c r="E17" s="102" t="s">
        <v>51</v>
      </c>
      <c r="F17" s="103" t="str">
        <v/>
      </c>
      <c r="G17" s="102" t="s">
        <v>37</v>
      </c>
      <c r="H17" s="103" t="str">
        <v/>
      </c>
      <c r="I17" s="102" t="s">
        <v>36</v>
      </c>
      <c r="J17" s="103" t="str">
        <v/>
      </c>
      <c r="K17" s="102" t="s">
        <v>45</v>
      </c>
      <c r="L17" s="103" t="str">
        <v/>
      </c>
      <c r="M17" s="102" t="s">
        <v>45</v>
      </c>
      <c r="N17" s="103" t="str">
        <v/>
      </c>
      <c r="O17" s="96" t="s">
        <v>28</v>
      </c>
      <c r="P17" s="103" t="str">
        <v/>
      </c>
      <c r="Q17" s="102" t="s">
        <v>44</v>
      </c>
      <c r="R17" s="103" t="str">
        <v/>
      </c>
      <c r="S17" s="102" t="s">
        <v>44</v>
      </c>
      <c r="T17" s="103" t="str">
        <v/>
      </c>
      <c r="U17" s="102" t="s">
        <v>44</v>
      </c>
      <c r="V17" s="103" t="str">
        <v/>
      </c>
      <c r="W17" s="102" t="s">
        <v>45</v>
      </c>
      <c r="X17" s="103" t="str">
        <v/>
      </c>
      <c r="Y17" s="102" t="s">
        <v>45</v>
      </c>
      <c r="Z17" s="103" t="str">
        <v/>
      </c>
      <c r="AA17" s="96" t="s">
        <v>28</v>
      </c>
      <c r="AB17" s="116" t="str">
        <v/>
      </c>
      <c r="AC17" s="102" t="s">
        <v>45</v>
      </c>
      <c r="AD17" s="103" t="str">
        <v/>
      </c>
      <c r="AE17" s="102" t="s">
        <v>44</v>
      </c>
      <c r="AF17" s="103" t="str">
        <v/>
      </c>
      <c r="AG17" s="102" t="s">
        <v>44</v>
      </c>
      <c r="AH17" s="103" t="str">
        <v/>
      </c>
      <c r="AI17" s="102" t="s">
        <v>48</v>
      </c>
      <c r="AJ17" s="103" t="str">
        <v/>
      </c>
      <c r="AK17" s="102" t="s">
        <v>36</v>
      </c>
      <c r="AL17" s="103" t="str">
        <v/>
      </c>
      <c r="AM17" s="102" t="s">
        <v>44</v>
      </c>
      <c r="AN17" s="103" t="str">
        <v/>
      </c>
      <c r="AO17" s="102" t="s">
        <v>45</v>
      </c>
      <c r="AP17" s="103" t="str">
        <v/>
      </c>
      <c r="AQ17" s="102" t="s">
        <v>45</v>
      </c>
      <c r="AR17" s="10" t="str">
        <v/>
      </c>
    </row>
    <row r="18" spans="1:44" ht="12.75" customHeight="1">
      <c r="A18" s="99" t="s">
        <v>62</v>
      </c>
      <c r="B18" s="97" t="s">
        <v>64</v>
      </c>
      <c r="C18" s="98"/>
      <c r="D18" s="83"/>
      <c r="E18" s="104" t="s">
        <v>36</v>
      </c>
      <c r="F18" s="105" t="str">
        <v/>
      </c>
      <c r="G18" s="104" t="s">
        <v>44</v>
      </c>
      <c r="H18" s="105" t="str">
        <v/>
      </c>
      <c r="I18" s="104" t="s">
        <v>39</v>
      </c>
      <c r="J18" s="105" t="str">
        <v/>
      </c>
      <c r="K18" s="104" t="s">
        <v>39</v>
      </c>
      <c r="L18" s="105" t="str">
        <v/>
      </c>
      <c r="M18" s="104" t="s">
        <v>30</v>
      </c>
      <c r="N18" s="105" t="str">
        <v/>
      </c>
      <c r="O18" s="98" t="s">
        <v>28</v>
      </c>
      <c r="P18" s="105" t="str">
        <v/>
      </c>
      <c r="Q18" s="104" t="s">
        <v>39</v>
      </c>
      <c r="R18" s="105" t="str">
        <v/>
      </c>
      <c r="S18" s="104" t="s">
        <v>39</v>
      </c>
      <c r="T18" s="105" t="str">
        <v/>
      </c>
      <c r="U18" s="104" t="s">
        <v>39</v>
      </c>
      <c r="V18" s="105" t="str">
        <v/>
      </c>
      <c r="W18" s="104" t="s">
        <v>36</v>
      </c>
      <c r="X18" s="105" t="str">
        <v/>
      </c>
      <c r="Y18" s="104" t="s">
        <v>39</v>
      </c>
      <c r="Z18" s="105" t="str">
        <v/>
      </c>
      <c r="AA18" s="98" t="s">
        <v>28</v>
      </c>
      <c r="AB18" s="117" t="str">
        <v/>
      </c>
      <c r="AC18" s="104" t="s">
        <v>36</v>
      </c>
      <c r="AD18" s="105" t="str">
        <v/>
      </c>
      <c r="AE18" s="104" t="s">
        <v>39</v>
      </c>
      <c r="AF18" s="105" t="str">
        <v/>
      </c>
      <c r="AG18" s="104" t="s">
        <v>37</v>
      </c>
      <c r="AH18" s="105" t="str">
        <v/>
      </c>
      <c r="AI18" s="104" t="s">
        <v>31</v>
      </c>
      <c r="AJ18" s="105" t="str">
        <v/>
      </c>
      <c r="AK18" s="104" t="s">
        <v>39</v>
      </c>
      <c r="AL18" s="105" t="str">
        <v/>
      </c>
      <c r="AM18" s="104" t="s">
        <v>39</v>
      </c>
      <c r="AN18" s="105" t="str">
        <v/>
      </c>
      <c r="AO18" s="104" t="s">
        <v>36</v>
      </c>
      <c r="AP18" s="105" t="str">
        <v/>
      </c>
      <c r="AQ18" s="104" t="s">
        <v>37</v>
      </c>
      <c r="AR18" s="12" t="str">
        <v/>
      </c>
    </row>
    <row r="19" spans="1:44" ht="12.75" customHeight="1">
      <c r="A19" s="76" t="s">
        <v>65</v>
      </c>
      <c r="B19" s="77"/>
      <c r="C19" s="77"/>
      <c r="D19" s="78"/>
      <c r="E19" s="106"/>
      <c r="F19" s="107" t="str">
        <v/>
      </c>
      <c r="G19" s="108"/>
      <c r="H19" s="109" t="str">
        <v/>
      </c>
      <c r="I19" s="108"/>
      <c r="J19" s="109" t="str">
        <v/>
      </c>
      <c r="K19" s="108"/>
      <c r="L19" s="109" t="str">
        <v/>
      </c>
      <c r="M19" s="108"/>
      <c r="N19" s="109" t="str">
        <v/>
      </c>
      <c r="O19" s="111"/>
      <c r="P19" s="109" t="str">
        <v/>
      </c>
      <c r="Q19" s="108"/>
      <c r="R19" s="109" t="str">
        <v/>
      </c>
      <c r="S19" s="108"/>
      <c r="T19" s="109" t="str">
        <v/>
      </c>
      <c r="U19" s="108"/>
      <c r="V19" s="109" t="str">
        <v/>
      </c>
      <c r="W19" s="108"/>
      <c r="X19" s="109" t="str">
        <v/>
      </c>
      <c r="Y19" s="108"/>
      <c r="Z19" s="109" t="str">
        <v/>
      </c>
      <c r="AA19" s="111"/>
      <c r="AB19" s="118" t="str">
        <v/>
      </c>
      <c r="AC19" s="108"/>
      <c r="AD19" s="109" t="str">
        <v/>
      </c>
      <c r="AE19" s="108"/>
      <c r="AF19" s="109" t="str">
        <v/>
      </c>
      <c r="AG19" s="108"/>
      <c r="AH19" s="109" t="str">
        <v/>
      </c>
      <c r="AI19" s="108"/>
      <c r="AJ19" s="109" t="str">
        <v/>
      </c>
      <c r="AK19" s="108"/>
      <c r="AL19" s="109" t="str">
        <v/>
      </c>
      <c r="AM19" s="108"/>
      <c r="AN19" s="109" t="str">
        <v/>
      </c>
      <c r="AO19" s="108"/>
      <c r="AP19" s="109" t="str">
        <v/>
      </c>
      <c r="AQ19" s="108"/>
      <c r="AR19" s="81" t="str">
        <v/>
      </c>
    </row>
    <row r="20" spans="1:44" ht="12.75" customHeight="1">
      <c r="A20" s="99" t="s">
        <v>66</v>
      </c>
      <c r="B20" s="95" t="s">
        <v>67</v>
      </c>
      <c r="C20" s="96"/>
      <c r="D20" s="83"/>
      <c r="E20" s="102" t="s">
        <v>36</v>
      </c>
      <c r="F20" s="103" t="str">
        <v/>
      </c>
      <c r="G20" s="102" t="s">
        <v>39</v>
      </c>
      <c r="H20" s="103" t="str">
        <v/>
      </c>
      <c r="I20" s="102" t="s">
        <v>39</v>
      </c>
      <c r="J20" s="103" t="str">
        <v/>
      </c>
      <c r="K20" s="102" t="s">
        <v>30</v>
      </c>
      <c r="L20" s="103" t="str">
        <v/>
      </c>
      <c r="M20" s="102" t="s">
        <v>44</v>
      </c>
      <c r="N20" s="103" t="str">
        <v/>
      </c>
      <c r="O20" s="96" t="s">
        <v>28</v>
      </c>
      <c r="P20" s="103" t="str">
        <v/>
      </c>
      <c r="Q20" s="102" t="s">
        <v>36</v>
      </c>
      <c r="R20" s="103" t="str">
        <v/>
      </c>
      <c r="S20" s="102" t="s">
        <v>36</v>
      </c>
      <c r="T20" s="103" t="str">
        <v/>
      </c>
      <c r="U20" s="102" t="s">
        <v>37</v>
      </c>
      <c r="V20" s="103" t="str">
        <v/>
      </c>
      <c r="W20" s="102" t="s">
        <v>44</v>
      </c>
      <c r="X20" s="103" t="str">
        <v/>
      </c>
      <c r="Y20" s="102" t="s">
        <v>36</v>
      </c>
      <c r="Z20" s="103" t="str">
        <v/>
      </c>
      <c r="AA20" s="96" t="s">
        <v>38</v>
      </c>
      <c r="AB20" s="116" t="str">
        <v/>
      </c>
      <c r="AC20" s="102" t="s">
        <v>39</v>
      </c>
      <c r="AD20" s="103" t="str">
        <v/>
      </c>
      <c r="AE20" s="102" t="s">
        <v>37</v>
      </c>
      <c r="AF20" s="103" t="str">
        <v/>
      </c>
      <c r="AG20" s="102" t="s">
        <v>44</v>
      </c>
      <c r="AH20" s="103" t="str">
        <v/>
      </c>
      <c r="AI20" s="102" t="s">
        <v>39</v>
      </c>
      <c r="AJ20" s="103" t="str">
        <v/>
      </c>
      <c r="AK20" s="102" t="s">
        <v>45</v>
      </c>
      <c r="AL20" s="103" t="str">
        <v/>
      </c>
      <c r="AM20" s="102" t="s">
        <v>48</v>
      </c>
      <c r="AN20" s="103" t="str">
        <v/>
      </c>
      <c r="AO20" s="102" t="s">
        <v>36</v>
      </c>
      <c r="AP20" s="103" t="str">
        <v/>
      </c>
      <c r="AQ20" s="102" t="s">
        <v>39</v>
      </c>
      <c r="AR20" s="10" t="str">
        <v/>
      </c>
    </row>
    <row r="21" spans="1:44" ht="12.75" customHeight="1">
      <c r="A21" s="99" t="s">
        <v>68</v>
      </c>
      <c r="B21" s="95" t="s">
        <v>69</v>
      </c>
      <c r="C21" s="96"/>
      <c r="D21" s="83"/>
      <c r="E21" s="102" t="s">
        <v>37</v>
      </c>
      <c r="F21" s="103" t="str">
        <v/>
      </c>
      <c r="G21" s="102" t="s">
        <v>36</v>
      </c>
      <c r="H21" s="103" t="str">
        <v/>
      </c>
      <c r="I21" s="102" t="s">
        <v>36</v>
      </c>
      <c r="J21" s="103" t="str">
        <v/>
      </c>
      <c r="K21" s="102" t="s">
        <v>36</v>
      </c>
      <c r="L21" s="103" t="str">
        <v/>
      </c>
      <c r="M21" s="102" t="s">
        <v>37</v>
      </c>
      <c r="N21" s="103" t="str">
        <v/>
      </c>
      <c r="O21" s="96" t="s">
        <v>44</v>
      </c>
      <c r="P21" s="103" t="str">
        <v/>
      </c>
      <c r="Q21" s="102" t="s">
        <v>48</v>
      </c>
      <c r="R21" s="103" t="str">
        <v/>
      </c>
      <c r="S21" s="102" t="s">
        <v>48</v>
      </c>
      <c r="T21" s="103" t="str">
        <v/>
      </c>
      <c r="U21" s="102" t="s">
        <v>37</v>
      </c>
      <c r="V21" s="103" t="str">
        <v/>
      </c>
      <c r="W21" s="102" t="s">
        <v>36</v>
      </c>
      <c r="X21" s="103" t="str">
        <v/>
      </c>
      <c r="Y21" s="102" t="s">
        <v>48</v>
      </c>
      <c r="Z21" s="103" t="str">
        <v/>
      </c>
      <c r="AA21" s="96" t="s">
        <v>44</v>
      </c>
      <c r="AB21" s="116" t="str">
        <v/>
      </c>
      <c r="AC21" s="102" t="s">
        <v>37</v>
      </c>
      <c r="AD21" s="103" t="str">
        <v/>
      </c>
      <c r="AE21" s="102" t="s">
        <v>44</v>
      </c>
      <c r="AF21" s="103" t="str">
        <v/>
      </c>
      <c r="AG21" s="102" t="s">
        <v>48</v>
      </c>
      <c r="AH21" s="103" t="str">
        <v/>
      </c>
      <c r="AI21" s="102" t="s">
        <v>36</v>
      </c>
      <c r="AJ21" s="103" t="str">
        <v/>
      </c>
      <c r="AK21" s="102" t="s">
        <v>36</v>
      </c>
      <c r="AL21" s="103" t="str">
        <v/>
      </c>
      <c r="AM21" s="102" t="s">
        <v>44</v>
      </c>
      <c r="AN21" s="103" t="str">
        <v/>
      </c>
      <c r="AO21" s="102" t="s">
        <v>44</v>
      </c>
      <c r="AP21" s="103" t="str">
        <v/>
      </c>
      <c r="AQ21" s="102" t="s">
        <v>44</v>
      </c>
      <c r="AR21" s="10" t="str">
        <v/>
      </c>
    </row>
    <row r="22" spans="1:44" ht="12.75" customHeight="1">
      <c r="A22" s="99" t="s">
        <v>70</v>
      </c>
      <c r="B22" s="95" t="s">
        <v>71</v>
      </c>
      <c r="C22" s="96"/>
      <c r="D22" s="83"/>
      <c r="E22" s="102" t="s">
        <v>31</v>
      </c>
      <c r="F22" s="103" t="str">
        <v/>
      </c>
      <c r="G22" s="102" t="s">
        <v>44</v>
      </c>
      <c r="H22" s="103" t="str">
        <v/>
      </c>
      <c r="I22" s="102" t="s">
        <v>36</v>
      </c>
      <c r="J22" s="103" t="str">
        <v/>
      </c>
      <c r="K22" s="102" t="s">
        <v>39</v>
      </c>
      <c r="L22" s="103" t="str">
        <v/>
      </c>
      <c r="M22" s="102" t="s">
        <v>37</v>
      </c>
      <c r="N22" s="103" t="str">
        <v/>
      </c>
      <c r="O22" s="96" t="s">
        <v>44</v>
      </c>
      <c r="P22" s="103" t="str">
        <v/>
      </c>
      <c r="Q22" s="102" t="s">
        <v>31</v>
      </c>
      <c r="R22" s="103" t="str">
        <v/>
      </c>
      <c r="S22" s="102" t="s">
        <v>44</v>
      </c>
      <c r="T22" s="103" t="str">
        <v/>
      </c>
      <c r="U22" s="102" t="s">
        <v>37</v>
      </c>
      <c r="V22" s="103" t="str">
        <v/>
      </c>
      <c r="W22" s="102" t="s">
        <v>39</v>
      </c>
      <c r="X22" s="103" t="str">
        <v/>
      </c>
      <c r="Y22" s="102" t="s">
        <v>44</v>
      </c>
      <c r="Z22" s="103" t="str">
        <v/>
      </c>
      <c r="AA22" s="96" t="s">
        <v>38</v>
      </c>
      <c r="AB22" s="116" t="str">
        <v/>
      </c>
      <c r="AC22" s="102" t="s">
        <v>36</v>
      </c>
      <c r="AD22" s="103" t="str">
        <v/>
      </c>
      <c r="AE22" s="102" t="s">
        <v>39</v>
      </c>
      <c r="AF22" s="103" t="str">
        <v/>
      </c>
      <c r="AG22" s="102" t="s">
        <v>37</v>
      </c>
      <c r="AH22" s="103" t="str">
        <v/>
      </c>
      <c r="AI22" s="102" t="s">
        <v>31</v>
      </c>
      <c r="AJ22" s="103" t="str">
        <v/>
      </c>
      <c r="AK22" s="102" t="s">
        <v>45</v>
      </c>
      <c r="AL22" s="103" t="str">
        <v/>
      </c>
      <c r="AM22" s="102" t="s">
        <v>36</v>
      </c>
      <c r="AN22" s="103" t="str">
        <v/>
      </c>
      <c r="AO22" s="102" t="s">
        <v>39</v>
      </c>
      <c r="AP22" s="103" t="str">
        <v/>
      </c>
      <c r="AQ22" s="102" t="s">
        <v>36</v>
      </c>
      <c r="AR22" s="10" t="str">
        <v/>
      </c>
    </row>
    <row r="23" spans="1:44" ht="12.75" customHeight="1">
      <c r="A23" s="99" t="s">
        <v>70</v>
      </c>
      <c r="B23" s="95" t="s">
        <v>72</v>
      </c>
      <c r="C23" s="96"/>
      <c r="D23" s="83"/>
      <c r="E23" s="102" t="s">
        <v>36</v>
      </c>
      <c r="F23" s="103" t="str">
        <v/>
      </c>
      <c r="G23" s="102" t="s">
        <v>39</v>
      </c>
      <c r="H23" s="103" t="str">
        <v/>
      </c>
      <c r="I23" s="102" t="s">
        <v>36</v>
      </c>
      <c r="J23" s="103" t="str">
        <v/>
      </c>
      <c r="K23" s="102" t="s">
        <v>48</v>
      </c>
      <c r="L23" s="103" t="str">
        <v/>
      </c>
      <c r="M23" s="102" t="s">
        <v>37</v>
      </c>
      <c r="N23" s="103" t="str">
        <v/>
      </c>
      <c r="O23" s="96" t="s">
        <v>28</v>
      </c>
      <c r="P23" s="103" t="str">
        <v/>
      </c>
      <c r="Q23" s="102" t="s">
        <v>36</v>
      </c>
      <c r="R23" s="103" t="str">
        <v/>
      </c>
      <c r="S23" s="102" t="s">
        <v>36</v>
      </c>
      <c r="T23" s="103" t="str">
        <v/>
      </c>
      <c r="U23" s="102" t="s">
        <v>37</v>
      </c>
      <c r="V23" s="103" t="str">
        <v/>
      </c>
      <c r="W23" s="102" t="s">
        <v>36</v>
      </c>
      <c r="X23" s="103" t="str">
        <v/>
      </c>
      <c r="Y23" s="102" t="s">
        <v>44</v>
      </c>
      <c r="Z23" s="103" t="str">
        <v/>
      </c>
      <c r="AA23" s="96" t="s">
        <v>73</v>
      </c>
      <c r="AB23" s="116" t="str">
        <v/>
      </c>
      <c r="AC23" s="102" t="s">
        <v>44</v>
      </c>
      <c r="AD23" s="103" t="str">
        <v/>
      </c>
      <c r="AE23" s="102" t="s">
        <v>37</v>
      </c>
      <c r="AF23" s="103" t="str">
        <v/>
      </c>
      <c r="AG23" s="102" t="s">
        <v>36</v>
      </c>
      <c r="AH23" s="103" t="str">
        <v/>
      </c>
      <c r="AI23" s="102" t="s">
        <v>37</v>
      </c>
      <c r="AJ23" s="103" t="str">
        <v/>
      </c>
      <c r="AK23" s="102" t="s">
        <v>31</v>
      </c>
      <c r="AL23" s="103" t="str">
        <v/>
      </c>
      <c r="AM23" s="102" t="s">
        <v>48</v>
      </c>
      <c r="AN23" s="103" t="str">
        <v/>
      </c>
      <c r="AO23" s="102" t="s">
        <v>36</v>
      </c>
      <c r="AP23" s="103" t="str">
        <v/>
      </c>
      <c r="AQ23" s="102" t="s">
        <v>36</v>
      </c>
      <c r="AR23" s="10" t="str">
        <v/>
      </c>
    </row>
    <row r="24" spans="1:44" ht="12.75" customHeight="1">
      <c r="A24" s="99" t="s">
        <v>74</v>
      </c>
      <c r="B24" s="95" t="s">
        <v>75</v>
      </c>
      <c r="C24" s="96"/>
      <c r="D24" s="83"/>
      <c r="E24" s="102" t="s">
        <v>29</v>
      </c>
      <c r="F24" s="103" t="str">
        <v/>
      </c>
      <c r="G24" s="102" t="s">
        <v>32</v>
      </c>
      <c r="H24" s="103" t="str">
        <v/>
      </c>
      <c r="I24" s="102" t="s">
        <v>28</v>
      </c>
      <c r="J24" s="103" t="str">
        <v/>
      </c>
      <c r="K24" s="102" t="s">
        <v>38</v>
      </c>
      <c r="L24" s="103" t="str">
        <v/>
      </c>
      <c r="M24" s="102" t="s">
        <v>32</v>
      </c>
      <c r="N24" s="103" t="str">
        <v/>
      </c>
      <c r="O24" s="96" t="s">
        <v>44</v>
      </c>
      <c r="P24" s="103" t="str">
        <v/>
      </c>
      <c r="Q24" s="102" t="s">
        <v>28</v>
      </c>
      <c r="R24" s="103" t="str">
        <v/>
      </c>
      <c r="S24" s="102" t="s">
        <v>29</v>
      </c>
      <c r="T24" s="103" t="str">
        <v/>
      </c>
      <c r="U24" s="102" t="s">
        <v>28</v>
      </c>
      <c r="V24" s="103" t="str">
        <v/>
      </c>
      <c r="W24" s="102" t="s">
        <v>28</v>
      </c>
      <c r="X24" s="103" t="str">
        <v/>
      </c>
      <c r="Y24" s="102" t="s">
        <v>33</v>
      </c>
      <c r="Z24" s="103" t="str">
        <v/>
      </c>
      <c r="AA24" s="96" t="s">
        <v>48</v>
      </c>
      <c r="AB24" s="116" t="str">
        <v/>
      </c>
      <c r="AC24" s="102" t="s">
        <v>33</v>
      </c>
      <c r="AD24" s="103" t="str">
        <v/>
      </c>
      <c r="AE24" s="102" t="s">
        <v>28</v>
      </c>
      <c r="AF24" s="103" t="str">
        <v/>
      </c>
      <c r="AG24" s="102" t="s">
        <v>29</v>
      </c>
      <c r="AH24" s="103" t="str">
        <v/>
      </c>
      <c r="AI24" s="102" t="s">
        <v>32</v>
      </c>
      <c r="AJ24" s="103" t="str">
        <v/>
      </c>
      <c r="AK24" s="102" t="s">
        <v>33</v>
      </c>
      <c r="AL24" s="103" t="str">
        <v/>
      </c>
      <c r="AM24" s="102" t="s">
        <v>29</v>
      </c>
      <c r="AN24" s="103" t="str">
        <v/>
      </c>
      <c r="AO24" s="102" t="s">
        <v>29</v>
      </c>
      <c r="AP24" s="103" t="str">
        <v/>
      </c>
      <c r="AQ24" s="102" t="s">
        <v>28</v>
      </c>
      <c r="AR24" s="10" t="str">
        <v/>
      </c>
    </row>
    <row r="25" spans="1:44" ht="12.75" customHeight="1">
      <c r="A25" s="99" t="s">
        <v>74</v>
      </c>
      <c r="B25" s="97" t="s">
        <v>76</v>
      </c>
      <c r="C25" s="98"/>
      <c r="D25" s="83"/>
      <c r="E25" s="104" t="s">
        <v>32</v>
      </c>
      <c r="F25" s="105" t="str">
        <v/>
      </c>
      <c r="G25" s="104" t="s">
        <v>39</v>
      </c>
      <c r="H25" s="105" t="str">
        <v/>
      </c>
      <c r="I25" s="104" t="s">
        <v>28</v>
      </c>
      <c r="J25" s="105" t="str">
        <v/>
      </c>
      <c r="K25" s="104" t="s">
        <v>39</v>
      </c>
      <c r="L25" s="105" t="str">
        <v/>
      </c>
      <c r="M25" s="104" t="s">
        <v>39</v>
      </c>
      <c r="N25" s="105" t="str">
        <v/>
      </c>
      <c r="O25" s="98" t="s">
        <v>28</v>
      </c>
      <c r="P25" s="105" t="str">
        <v/>
      </c>
      <c r="Q25" s="104" t="s">
        <v>32</v>
      </c>
      <c r="R25" s="105" t="str">
        <v/>
      </c>
      <c r="S25" s="104" t="s">
        <v>31</v>
      </c>
      <c r="T25" s="105" t="str">
        <v/>
      </c>
      <c r="U25" s="104" t="s">
        <v>32</v>
      </c>
      <c r="V25" s="105" t="str">
        <v/>
      </c>
      <c r="W25" s="104" t="s">
        <v>38</v>
      </c>
      <c r="X25" s="105" t="str">
        <v/>
      </c>
      <c r="Y25" s="104" t="s">
        <v>36</v>
      </c>
      <c r="Z25" s="105" t="str">
        <v/>
      </c>
      <c r="AA25" s="98" t="s">
        <v>28</v>
      </c>
      <c r="AB25" s="117" t="str">
        <v/>
      </c>
      <c r="AC25" s="104" t="s">
        <v>39</v>
      </c>
      <c r="AD25" s="105" t="str">
        <v/>
      </c>
      <c r="AE25" s="104" t="s">
        <v>39</v>
      </c>
      <c r="AF25" s="105" t="str">
        <v/>
      </c>
      <c r="AG25" s="104" t="s">
        <v>38</v>
      </c>
      <c r="AH25" s="105" t="str">
        <v/>
      </c>
      <c r="AI25" s="104" t="s">
        <v>28</v>
      </c>
      <c r="AJ25" s="105" t="str">
        <v/>
      </c>
      <c r="AK25" s="104" t="s">
        <v>32</v>
      </c>
      <c r="AL25" s="105" t="str">
        <v/>
      </c>
      <c r="AM25" s="104" t="s">
        <v>38</v>
      </c>
      <c r="AN25" s="105" t="str">
        <v/>
      </c>
      <c r="AO25" s="104" t="s">
        <v>38</v>
      </c>
      <c r="AP25" s="105" t="str">
        <v/>
      </c>
      <c r="AQ25" s="104" t="s">
        <v>36</v>
      </c>
      <c r="AR25" s="12" t="str">
        <v/>
      </c>
    </row>
    <row r="26" spans="1:44" ht="12.75" customHeight="1">
      <c r="A26" s="76" t="s">
        <v>77</v>
      </c>
      <c r="B26" s="77"/>
      <c r="C26" s="77"/>
      <c r="D26" s="78"/>
      <c r="E26" s="106"/>
      <c r="F26" s="107" t="str">
        <v/>
      </c>
      <c r="G26" s="108"/>
      <c r="H26" s="109" t="str">
        <v/>
      </c>
      <c r="I26" s="108"/>
      <c r="J26" s="109" t="str">
        <v/>
      </c>
      <c r="K26" s="108"/>
      <c r="L26" s="109" t="str">
        <v/>
      </c>
      <c r="M26" s="108"/>
      <c r="N26" s="109" t="str">
        <v/>
      </c>
      <c r="O26" s="111"/>
      <c r="P26" s="109" t="str">
        <v/>
      </c>
      <c r="Q26" s="108"/>
      <c r="R26" s="109" t="str">
        <v/>
      </c>
      <c r="S26" s="108"/>
      <c r="T26" s="109" t="str">
        <v/>
      </c>
      <c r="U26" s="108"/>
      <c r="V26" s="109" t="str">
        <v/>
      </c>
      <c r="W26" s="108"/>
      <c r="X26" s="109" t="str">
        <v/>
      </c>
      <c r="Y26" s="108"/>
      <c r="Z26" s="109" t="str">
        <v/>
      </c>
      <c r="AA26" s="111"/>
      <c r="AB26" s="118" t="str">
        <v/>
      </c>
      <c r="AC26" s="108"/>
      <c r="AD26" s="109" t="str">
        <v/>
      </c>
      <c r="AE26" s="108"/>
      <c r="AF26" s="109" t="str">
        <v/>
      </c>
      <c r="AG26" s="108"/>
      <c r="AH26" s="109" t="str">
        <v/>
      </c>
      <c r="AI26" s="108"/>
      <c r="AJ26" s="109" t="str">
        <v/>
      </c>
      <c r="AK26" s="108"/>
      <c r="AL26" s="109" t="str">
        <v/>
      </c>
      <c r="AM26" s="108"/>
      <c r="AN26" s="109" t="str">
        <v/>
      </c>
      <c r="AO26" s="108"/>
      <c r="AP26" s="109" t="str">
        <v/>
      </c>
      <c r="AQ26" s="108"/>
      <c r="AR26" s="81" t="str">
        <v/>
      </c>
    </row>
    <row r="27" spans="1:44" ht="12.75" customHeight="1">
      <c r="A27" s="99" t="s">
        <v>56</v>
      </c>
      <c r="B27" s="95" t="s">
        <v>78</v>
      </c>
      <c r="C27" s="96"/>
      <c r="D27" s="83"/>
      <c r="E27" s="102" t="s">
        <v>30</v>
      </c>
      <c r="F27" s="103" t="str">
        <v/>
      </c>
      <c r="G27" s="102" t="s">
        <v>39</v>
      </c>
      <c r="H27" s="103" t="str">
        <v/>
      </c>
      <c r="I27" s="102" t="s">
        <v>48</v>
      </c>
      <c r="J27" s="103" t="str">
        <v/>
      </c>
      <c r="K27" s="102" t="s">
        <v>39</v>
      </c>
      <c r="L27" s="103" t="str">
        <v/>
      </c>
      <c r="M27" s="102" t="s">
        <v>32</v>
      </c>
      <c r="N27" s="103" t="str">
        <v/>
      </c>
      <c r="O27" s="96" t="s">
        <v>44</v>
      </c>
      <c r="P27" s="103" t="str">
        <v/>
      </c>
      <c r="Q27" s="102" t="s">
        <v>36</v>
      </c>
      <c r="R27" s="103" t="str">
        <v/>
      </c>
      <c r="S27" s="102" t="s">
        <v>44</v>
      </c>
      <c r="T27" s="103" t="str">
        <v/>
      </c>
      <c r="U27" s="102" t="s">
        <v>37</v>
      </c>
      <c r="V27" s="103" t="str">
        <v/>
      </c>
      <c r="W27" s="102" t="s">
        <v>36</v>
      </c>
      <c r="X27" s="103" t="str">
        <v/>
      </c>
      <c r="Y27" s="102" t="s">
        <v>44</v>
      </c>
      <c r="Z27" s="103" t="str">
        <v/>
      </c>
      <c r="AA27" s="96" t="s">
        <v>39</v>
      </c>
      <c r="AB27" s="116" t="str">
        <v/>
      </c>
      <c r="AC27" s="102" t="s">
        <v>36</v>
      </c>
      <c r="AD27" s="103" t="str">
        <v/>
      </c>
      <c r="AE27" s="102" t="s">
        <v>44</v>
      </c>
      <c r="AF27" s="103" t="str">
        <v/>
      </c>
      <c r="AG27" s="102" t="s">
        <v>36</v>
      </c>
      <c r="AH27" s="103" t="str">
        <v/>
      </c>
      <c r="AI27" s="102" t="s">
        <v>37</v>
      </c>
      <c r="AJ27" s="103" t="str">
        <v/>
      </c>
      <c r="AK27" s="102" t="s">
        <v>37</v>
      </c>
      <c r="AL27" s="103" t="str">
        <v/>
      </c>
      <c r="AM27" s="102" t="s">
        <v>36</v>
      </c>
      <c r="AN27" s="103" t="str">
        <v/>
      </c>
      <c r="AO27" s="102" t="s">
        <v>36</v>
      </c>
      <c r="AP27" s="103" t="str">
        <v/>
      </c>
      <c r="AQ27" s="102" t="s">
        <v>44</v>
      </c>
      <c r="AR27" s="10" t="str">
        <v/>
      </c>
    </row>
    <row r="28" spans="1:44" ht="12.75" customHeight="1">
      <c r="A28" s="99" t="s">
        <v>53</v>
      </c>
      <c r="B28" s="95" t="s">
        <v>79</v>
      </c>
      <c r="C28" s="96"/>
      <c r="D28" s="83"/>
      <c r="E28" s="102" t="s">
        <v>44</v>
      </c>
      <c r="F28" s="103" t="str">
        <v/>
      </c>
      <c r="G28" s="102" t="s">
        <v>48</v>
      </c>
      <c r="H28" s="103" t="str">
        <v/>
      </c>
      <c r="I28" s="102" t="s">
        <v>45</v>
      </c>
      <c r="J28" s="103" t="str">
        <v/>
      </c>
      <c r="K28" s="102" t="s">
        <v>48</v>
      </c>
      <c r="L28" s="103" t="str">
        <v/>
      </c>
      <c r="M28" s="102" t="s">
        <v>37</v>
      </c>
      <c r="N28" s="103" t="str">
        <v/>
      </c>
      <c r="O28" s="96" t="s">
        <v>44</v>
      </c>
      <c r="P28" s="103" t="str">
        <v/>
      </c>
      <c r="Q28" s="102" t="s">
        <v>45</v>
      </c>
      <c r="R28" s="103" t="str">
        <v/>
      </c>
      <c r="S28" s="102" t="s">
        <v>49</v>
      </c>
      <c r="T28" s="103" t="str">
        <v/>
      </c>
      <c r="U28" s="102" t="s">
        <v>44</v>
      </c>
      <c r="V28" s="103" t="str">
        <v/>
      </c>
      <c r="W28" s="102" t="s">
        <v>44</v>
      </c>
      <c r="X28" s="103" t="str">
        <v/>
      </c>
      <c r="Y28" s="102" t="s">
        <v>48</v>
      </c>
      <c r="Z28" s="103" t="str">
        <v/>
      </c>
      <c r="AA28" s="96" t="s">
        <v>36</v>
      </c>
      <c r="AB28" s="116" t="str">
        <v/>
      </c>
      <c r="AC28" s="102" t="s">
        <v>45</v>
      </c>
      <c r="AD28" s="103" t="str">
        <v/>
      </c>
      <c r="AE28" s="102" t="s">
        <v>44</v>
      </c>
      <c r="AF28" s="103" t="str">
        <v/>
      </c>
      <c r="AG28" s="102" t="s">
        <v>48</v>
      </c>
      <c r="AH28" s="103" t="str">
        <v/>
      </c>
      <c r="AI28" s="102" t="s">
        <v>44</v>
      </c>
      <c r="AJ28" s="103" t="str">
        <v/>
      </c>
      <c r="AK28" s="102" t="s">
        <v>39</v>
      </c>
      <c r="AL28" s="103" t="str">
        <v/>
      </c>
      <c r="AM28" s="102" t="s">
        <v>48</v>
      </c>
      <c r="AN28" s="103" t="str">
        <v/>
      </c>
      <c r="AO28" s="102" t="s">
        <v>45</v>
      </c>
      <c r="AP28" s="103" t="str">
        <v/>
      </c>
      <c r="AQ28" s="102" t="s">
        <v>44</v>
      </c>
      <c r="AR28" s="10" t="str">
        <v/>
      </c>
    </row>
    <row r="29" spans="1:44" ht="12.75" customHeight="1">
      <c r="A29" s="99" t="s">
        <v>58</v>
      </c>
      <c r="B29" s="95" t="s">
        <v>80</v>
      </c>
      <c r="C29" s="96"/>
      <c r="D29" s="83"/>
      <c r="E29" s="102" t="s">
        <v>36</v>
      </c>
      <c r="F29" s="103" t="str">
        <v/>
      </c>
      <c r="G29" s="102" t="s">
        <v>38</v>
      </c>
      <c r="H29" s="103" t="str">
        <v/>
      </c>
      <c r="I29" s="102" t="s">
        <v>39</v>
      </c>
      <c r="J29" s="103" t="str">
        <v/>
      </c>
      <c r="K29" s="102" t="s">
        <v>38</v>
      </c>
      <c r="L29" s="103" t="str">
        <v/>
      </c>
      <c r="M29" s="102" t="s">
        <v>39</v>
      </c>
      <c r="N29" s="103" t="str">
        <v/>
      </c>
      <c r="O29" s="96" t="s">
        <v>28</v>
      </c>
      <c r="P29" s="103" t="str">
        <v/>
      </c>
      <c r="Q29" s="102" t="s">
        <v>36</v>
      </c>
      <c r="R29" s="103" t="str">
        <v/>
      </c>
      <c r="S29" s="102" t="s">
        <v>48</v>
      </c>
      <c r="T29" s="103" t="str">
        <v/>
      </c>
      <c r="U29" s="102" t="s">
        <v>30</v>
      </c>
      <c r="V29" s="103" t="str">
        <v/>
      </c>
      <c r="W29" s="102" t="s">
        <v>38</v>
      </c>
      <c r="X29" s="103" t="str">
        <v/>
      </c>
      <c r="Y29" s="102" t="s">
        <v>36</v>
      </c>
      <c r="Z29" s="103" t="str">
        <v/>
      </c>
      <c r="AA29" s="96" t="s">
        <v>38</v>
      </c>
      <c r="AB29" s="116" t="str">
        <v/>
      </c>
      <c r="AC29" s="102" t="s">
        <v>39</v>
      </c>
      <c r="AD29" s="103" t="str">
        <v/>
      </c>
      <c r="AE29" s="102" t="s">
        <v>39</v>
      </c>
      <c r="AF29" s="103" t="str">
        <v/>
      </c>
      <c r="AG29" s="102" t="s">
        <v>36</v>
      </c>
      <c r="AH29" s="103" t="str">
        <v/>
      </c>
      <c r="AI29" s="102" t="s">
        <v>39</v>
      </c>
      <c r="AJ29" s="103" t="str">
        <v/>
      </c>
      <c r="AK29" s="102" t="s">
        <v>39</v>
      </c>
      <c r="AL29" s="103" t="str">
        <v/>
      </c>
      <c r="AM29" s="102" t="s">
        <v>39</v>
      </c>
      <c r="AN29" s="103" t="str">
        <v/>
      </c>
      <c r="AO29" s="102" t="s">
        <v>38</v>
      </c>
      <c r="AP29" s="103" t="str">
        <v/>
      </c>
      <c r="AQ29" s="102" t="s">
        <v>36</v>
      </c>
      <c r="AR29" s="10" t="str">
        <v/>
      </c>
    </row>
    <row r="30" spans="1:44" ht="12.75" customHeight="1">
      <c r="A30" s="99" t="s">
        <v>58</v>
      </c>
      <c r="B30" s="95" t="s">
        <v>81</v>
      </c>
      <c r="C30" s="96"/>
      <c r="D30" s="83"/>
      <c r="E30" s="102" t="s">
        <v>39</v>
      </c>
      <c r="F30" s="103" t="str">
        <v/>
      </c>
      <c r="G30" s="102" t="s">
        <v>36</v>
      </c>
      <c r="H30" s="103" t="str">
        <v/>
      </c>
      <c r="I30" s="102" t="s">
        <v>36</v>
      </c>
      <c r="J30" s="103" t="str">
        <v/>
      </c>
      <c r="K30" s="102" t="s">
        <v>48</v>
      </c>
      <c r="L30" s="103" t="str">
        <v/>
      </c>
      <c r="M30" s="102" t="s">
        <v>39</v>
      </c>
      <c r="N30" s="103" t="str">
        <v/>
      </c>
      <c r="O30" s="96" t="s">
        <v>28</v>
      </c>
      <c r="P30" s="103" t="str">
        <v/>
      </c>
      <c r="Q30" s="102" t="s">
        <v>36</v>
      </c>
      <c r="R30" s="103" t="str">
        <v/>
      </c>
      <c r="S30" s="102" t="s">
        <v>49</v>
      </c>
      <c r="T30" s="103" t="str">
        <v/>
      </c>
      <c r="U30" s="102" t="s">
        <v>39</v>
      </c>
      <c r="V30" s="103" t="str">
        <v/>
      </c>
      <c r="W30" s="102" t="s">
        <v>36</v>
      </c>
      <c r="X30" s="103" t="str">
        <v/>
      </c>
      <c r="Y30" s="102" t="s">
        <v>44</v>
      </c>
      <c r="Z30" s="103" t="str">
        <v/>
      </c>
      <c r="AA30" s="96" t="s">
        <v>39</v>
      </c>
      <c r="AB30" s="116" t="str">
        <v/>
      </c>
      <c r="AC30" s="102" t="s">
        <v>39</v>
      </c>
      <c r="AD30" s="103" t="str">
        <v/>
      </c>
      <c r="AE30" s="102" t="s">
        <v>39</v>
      </c>
      <c r="AF30" s="103" t="str">
        <v/>
      </c>
      <c r="AG30" s="102" t="s">
        <v>44</v>
      </c>
      <c r="AH30" s="103" t="str">
        <v/>
      </c>
      <c r="AI30" s="102" t="s">
        <v>36</v>
      </c>
      <c r="AJ30" s="103" t="str">
        <v/>
      </c>
      <c r="AK30" s="102" t="s">
        <v>31</v>
      </c>
      <c r="AL30" s="103" t="str">
        <v/>
      </c>
      <c r="AM30" s="102" t="s">
        <v>36</v>
      </c>
      <c r="AN30" s="103" t="str">
        <v/>
      </c>
      <c r="AO30" s="102" t="s">
        <v>36</v>
      </c>
      <c r="AP30" s="103" t="str">
        <v/>
      </c>
      <c r="AQ30" s="102" t="s">
        <v>36</v>
      </c>
      <c r="AR30" s="10" t="str">
        <v/>
      </c>
    </row>
    <row r="31" spans="1:44" ht="12.75" customHeight="1">
      <c r="A31" s="99" t="s">
        <v>62</v>
      </c>
      <c r="B31" s="95" t="s">
        <v>82</v>
      </c>
      <c r="C31" s="96"/>
      <c r="D31" s="83"/>
      <c r="E31" s="102" t="s">
        <v>28</v>
      </c>
      <c r="F31" s="103" t="str">
        <v/>
      </c>
      <c r="G31" s="102" t="s">
        <v>38</v>
      </c>
      <c r="H31" s="103" t="str">
        <v/>
      </c>
      <c r="I31" s="102" t="s">
        <v>33</v>
      </c>
      <c r="J31" s="103" t="str">
        <v/>
      </c>
      <c r="K31" s="102" t="s">
        <v>38</v>
      </c>
      <c r="L31" s="103" t="str">
        <v/>
      </c>
      <c r="M31" s="102" t="s">
        <v>32</v>
      </c>
      <c r="N31" s="103" t="str">
        <v/>
      </c>
      <c r="O31" s="96" t="s">
        <v>44</v>
      </c>
      <c r="P31" s="103" t="str">
        <v/>
      </c>
      <c r="Q31" s="102" t="s">
        <v>32</v>
      </c>
      <c r="R31" s="103" t="str">
        <v/>
      </c>
      <c r="S31" s="102" t="s">
        <v>31</v>
      </c>
      <c r="T31" s="103" t="str">
        <v/>
      </c>
      <c r="U31" s="102" t="s">
        <v>28</v>
      </c>
      <c r="V31" s="103" t="str">
        <v/>
      </c>
      <c r="W31" s="102" t="s">
        <v>28</v>
      </c>
      <c r="X31" s="103" t="str">
        <v/>
      </c>
      <c r="Y31" s="102" t="s">
        <v>39</v>
      </c>
      <c r="Z31" s="103" t="str">
        <v/>
      </c>
      <c r="AA31" s="96" t="s">
        <v>38</v>
      </c>
      <c r="AB31" s="116" t="str">
        <v/>
      </c>
      <c r="AC31" s="102" t="s">
        <v>28</v>
      </c>
      <c r="AD31" s="103" t="str">
        <v/>
      </c>
      <c r="AE31" s="102" t="s">
        <v>39</v>
      </c>
      <c r="AF31" s="103" t="str">
        <v/>
      </c>
      <c r="AG31" s="102" t="s">
        <v>33</v>
      </c>
      <c r="AH31" s="103" t="str">
        <v/>
      </c>
      <c r="AI31" s="102" t="s">
        <v>39</v>
      </c>
      <c r="AJ31" s="103" t="str">
        <v/>
      </c>
      <c r="AK31" s="102" t="s">
        <v>38</v>
      </c>
      <c r="AL31" s="103" t="str">
        <v/>
      </c>
      <c r="AM31" s="102" t="s">
        <v>31</v>
      </c>
      <c r="AN31" s="103" t="str">
        <v/>
      </c>
      <c r="AO31" s="102" t="s">
        <v>28</v>
      </c>
      <c r="AP31" s="103" t="str">
        <v/>
      </c>
      <c r="AQ31" s="102" t="s">
        <v>32</v>
      </c>
      <c r="AR31" s="10" t="str">
        <v/>
      </c>
    </row>
    <row r="32" spans="1:44" ht="12.75" customHeight="1">
      <c r="A32" s="99" t="s">
        <v>62</v>
      </c>
      <c r="B32" s="95" t="s">
        <v>83</v>
      </c>
      <c r="C32" s="98"/>
      <c r="D32" s="83"/>
      <c r="E32" s="104" t="s">
        <v>28</v>
      </c>
      <c r="F32" s="103" t="str">
        <v/>
      </c>
      <c r="G32" s="104" t="s">
        <v>32</v>
      </c>
      <c r="H32" s="103" t="str">
        <v/>
      </c>
      <c r="I32" s="104" t="s">
        <v>73</v>
      </c>
      <c r="J32" s="103" t="str">
        <v/>
      </c>
      <c r="K32" s="104" t="s">
        <v>33</v>
      </c>
      <c r="L32" s="103" t="str">
        <v/>
      </c>
      <c r="M32" s="104" t="s">
        <v>39</v>
      </c>
      <c r="N32" s="103" t="str">
        <v/>
      </c>
      <c r="O32" s="98" t="s">
        <v>28</v>
      </c>
      <c r="P32" s="103" t="str">
        <v/>
      </c>
      <c r="Q32" s="104" t="s">
        <v>32</v>
      </c>
      <c r="R32" s="103" t="str">
        <v/>
      </c>
      <c r="S32" s="104" t="s">
        <v>29</v>
      </c>
      <c r="T32" s="103" t="str">
        <v/>
      </c>
      <c r="U32" s="104" t="s">
        <v>28</v>
      </c>
      <c r="V32" s="103" t="str">
        <v/>
      </c>
      <c r="W32" s="104" t="s">
        <v>38</v>
      </c>
      <c r="X32" s="103" t="str">
        <v/>
      </c>
      <c r="Y32" s="104" t="s">
        <v>29</v>
      </c>
      <c r="Z32" s="103" t="str">
        <v/>
      </c>
      <c r="AA32" s="98" t="s">
        <v>28</v>
      </c>
      <c r="AB32" s="116" t="str">
        <v/>
      </c>
      <c r="AC32" s="104" t="s">
        <v>33</v>
      </c>
      <c r="AD32" s="103" t="str">
        <v/>
      </c>
      <c r="AE32" s="104" t="s">
        <v>28</v>
      </c>
      <c r="AF32" s="103" t="str">
        <v/>
      </c>
      <c r="AG32" s="104" t="s">
        <v>29</v>
      </c>
      <c r="AH32" s="103" t="str">
        <v/>
      </c>
      <c r="AI32" s="104" t="s">
        <v>29</v>
      </c>
      <c r="AJ32" s="103" t="str">
        <v/>
      </c>
      <c r="AK32" s="104" t="s">
        <v>33</v>
      </c>
      <c r="AL32" s="103" t="str">
        <v/>
      </c>
      <c r="AM32" s="104" t="s">
        <v>33</v>
      </c>
      <c r="AN32" s="103" t="str">
        <v/>
      </c>
      <c r="AO32" s="104" t="s">
        <v>33</v>
      </c>
      <c r="AP32" s="103" t="str">
        <v/>
      </c>
      <c r="AQ32" s="104" t="s">
        <v>28</v>
      </c>
      <c r="AR32" s="10" t="str">
        <v/>
      </c>
    </row>
    <row r="33" spans="1:44" ht="12.75" customHeight="1">
      <c r="A33" s="76" t="s">
        <v>84</v>
      </c>
      <c r="B33" s="77"/>
      <c r="C33" s="77"/>
      <c r="D33" s="78"/>
      <c r="E33" s="106"/>
      <c r="F33" s="107" t="str">
        <v/>
      </c>
      <c r="G33" s="108"/>
      <c r="H33" s="109" t="str">
        <v/>
      </c>
      <c r="I33" s="108"/>
      <c r="J33" s="109" t="str">
        <v/>
      </c>
      <c r="K33" s="108"/>
      <c r="L33" s="109" t="str">
        <v/>
      </c>
      <c r="M33" s="108"/>
      <c r="N33" s="109" t="str">
        <v/>
      </c>
      <c r="O33" s="111"/>
      <c r="P33" s="109" t="str">
        <v/>
      </c>
      <c r="Q33" s="108"/>
      <c r="R33" s="109" t="str">
        <v/>
      </c>
      <c r="S33" s="108"/>
      <c r="T33" s="109" t="str">
        <v/>
      </c>
      <c r="U33" s="108"/>
      <c r="V33" s="109" t="str">
        <v/>
      </c>
      <c r="W33" s="108"/>
      <c r="X33" s="109" t="str">
        <v/>
      </c>
      <c r="Y33" s="108"/>
      <c r="Z33" s="109" t="str">
        <v/>
      </c>
      <c r="AA33" s="111"/>
      <c r="AB33" s="118" t="str">
        <v/>
      </c>
      <c r="AC33" s="108"/>
      <c r="AD33" s="109" t="str">
        <v/>
      </c>
      <c r="AE33" s="108"/>
      <c r="AF33" s="109" t="str">
        <v/>
      </c>
      <c r="AG33" s="108"/>
      <c r="AH33" s="109" t="str">
        <v/>
      </c>
      <c r="AI33" s="108"/>
      <c r="AJ33" s="109" t="str">
        <v/>
      </c>
      <c r="AK33" s="108"/>
      <c r="AL33" s="109" t="str">
        <v/>
      </c>
      <c r="AM33" s="108"/>
      <c r="AN33" s="109" t="str">
        <v/>
      </c>
      <c r="AO33" s="108"/>
      <c r="AP33" s="109" t="str">
        <v/>
      </c>
      <c r="AQ33" s="108"/>
      <c r="AR33" s="81" t="str">
        <v/>
      </c>
    </row>
    <row r="34" spans="1:44" ht="12.75" customHeight="1">
      <c r="A34" s="99" t="s">
        <v>66</v>
      </c>
      <c r="B34" s="95" t="s">
        <v>85</v>
      </c>
      <c r="C34" s="96"/>
      <c r="D34" s="83"/>
      <c r="E34" s="102" t="s">
        <v>37</v>
      </c>
      <c r="F34" s="103" t="str">
        <v/>
      </c>
      <c r="G34" s="102" t="s">
        <v>39</v>
      </c>
      <c r="H34" s="103" t="str">
        <v/>
      </c>
      <c r="I34" s="102" t="s">
        <v>39</v>
      </c>
      <c r="J34" s="103" t="str">
        <v/>
      </c>
      <c r="K34" s="102" t="s">
        <v>39</v>
      </c>
      <c r="L34" s="103" t="str">
        <v/>
      </c>
      <c r="M34" s="102" t="s">
        <v>30</v>
      </c>
      <c r="N34" s="103" t="str">
        <v/>
      </c>
      <c r="O34" s="96" t="s">
        <v>28</v>
      </c>
      <c r="P34" s="103" t="str">
        <v/>
      </c>
      <c r="Q34" s="102" t="s">
        <v>31</v>
      </c>
      <c r="R34" s="103" t="str">
        <v/>
      </c>
      <c r="S34" s="102" t="s">
        <v>31</v>
      </c>
      <c r="T34" s="103" t="str">
        <v/>
      </c>
      <c r="U34" s="102" t="s">
        <v>30</v>
      </c>
      <c r="V34" s="103" t="str">
        <v/>
      </c>
      <c r="W34" s="102" t="s">
        <v>39</v>
      </c>
      <c r="X34" s="103" t="str">
        <v/>
      </c>
      <c r="Y34" s="102" t="s">
        <v>44</v>
      </c>
      <c r="Z34" s="103" t="str">
        <v/>
      </c>
      <c r="AA34" s="96" t="s">
        <v>73</v>
      </c>
      <c r="AB34" s="116" t="str">
        <v/>
      </c>
      <c r="AC34" s="102" t="s">
        <v>32</v>
      </c>
      <c r="AD34" s="103" t="str">
        <v/>
      </c>
      <c r="AE34" s="102" t="s">
        <v>37</v>
      </c>
      <c r="AF34" s="103" t="str">
        <v/>
      </c>
      <c r="AG34" s="102" t="s">
        <v>30</v>
      </c>
      <c r="AH34" s="103" t="str">
        <v/>
      </c>
      <c r="AI34" s="102" t="s">
        <v>44</v>
      </c>
      <c r="AJ34" s="103" t="str">
        <v/>
      </c>
      <c r="AK34" s="102" t="s">
        <v>48</v>
      </c>
      <c r="AL34" s="103" t="str">
        <v/>
      </c>
      <c r="AM34" s="102" t="s">
        <v>36</v>
      </c>
      <c r="AN34" s="103" t="str">
        <v/>
      </c>
      <c r="AO34" s="102" t="s">
        <v>36</v>
      </c>
      <c r="AP34" s="103" t="str">
        <v/>
      </c>
      <c r="AQ34" s="102" t="s">
        <v>38</v>
      </c>
      <c r="AR34" s="10" t="str">
        <v/>
      </c>
    </row>
    <row r="35" spans="1:44" ht="12.75" customHeight="1">
      <c r="A35" s="99" t="s">
        <v>68</v>
      </c>
      <c r="B35" s="95" t="s">
        <v>86</v>
      </c>
      <c r="C35" s="96"/>
      <c r="D35" s="83"/>
      <c r="E35" s="102" t="s">
        <v>28</v>
      </c>
      <c r="F35" s="103" t="str">
        <v/>
      </c>
      <c r="G35" s="102" t="s">
        <v>28</v>
      </c>
      <c r="H35" s="103" t="str">
        <v/>
      </c>
      <c r="I35" s="102" t="s">
        <v>38</v>
      </c>
      <c r="J35" s="103" t="str">
        <v/>
      </c>
      <c r="K35" s="102" t="s">
        <v>33</v>
      </c>
      <c r="L35" s="103" t="str">
        <v/>
      </c>
      <c r="M35" s="102" t="s">
        <v>28</v>
      </c>
      <c r="N35" s="103" t="str">
        <v/>
      </c>
      <c r="O35" s="96" t="s">
        <v>32</v>
      </c>
      <c r="P35" s="103" t="str">
        <v/>
      </c>
      <c r="Q35" s="102" t="s">
        <v>28</v>
      </c>
      <c r="R35" s="103" t="str">
        <v/>
      </c>
      <c r="S35" s="102" t="s">
        <v>38</v>
      </c>
      <c r="T35" s="103" t="str">
        <v/>
      </c>
      <c r="U35" s="102" t="s">
        <v>28</v>
      </c>
      <c r="V35" s="103" t="str">
        <v/>
      </c>
      <c r="W35" s="102" t="s">
        <v>28</v>
      </c>
      <c r="X35" s="103" t="str">
        <v/>
      </c>
      <c r="Y35" s="102" t="s">
        <v>33</v>
      </c>
      <c r="Z35" s="103" t="str">
        <v/>
      </c>
      <c r="AA35" s="96" t="s">
        <v>36</v>
      </c>
      <c r="AB35" s="116" t="str">
        <v/>
      </c>
      <c r="AC35" s="102" t="s">
        <v>38</v>
      </c>
      <c r="AD35" s="103" t="str">
        <v/>
      </c>
      <c r="AE35" s="102" t="s">
        <v>28</v>
      </c>
      <c r="AF35" s="103" t="str">
        <v/>
      </c>
      <c r="AG35" s="102" t="s">
        <v>28</v>
      </c>
      <c r="AH35" s="103" t="str">
        <v/>
      </c>
      <c r="AI35" s="102" t="s">
        <v>28</v>
      </c>
      <c r="AJ35" s="103" t="str">
        <v/>
      </c>
      <c r="AK35" s="102" t="s">
        <v>28</v>
      </c>
      <c r="AL35" s="103" t="str">
        <v/>
      </c>
      <c r="AM35" s="102" t="s">
        <v>28</v>
      </c>
      <c r="AN35" s="103" t="str">
        <v/>
      </c>
      <c r="AO35" s="102" t="s">
        <v>29</v>
      </c>
      <c r="AP35" s="103" t="str">
        <v/>
      </c>
      <c r="AQ35" s="102" t="s">
        <v>28</v>
      </c>
      <c r="AR35" s="10" t="str">
        <v/>
      </c>
    </row>
    <row r="36" spans="1:44" ht="12.75" customHeight="1">
      <c r="A36" s="99" t="s">
        <v>70</v>
      </c>
      <c r="B36" s="95" t="s">
        <v>87</v>
      </c>
      <c r="C36" s="96"/>
      <c r="D36" s="83"/>
      <c r="E36" s="102" t="s">
        <v>36</v>
      </c>
      <c r="F36" s="103" t="str">
        <v/>
      </c>
      <c r="G36" s="102" t="s">
        <v>30</v>
      </c>
      <c r="H36" s="103" t="str">
        <v/>
      </c>
      <c r="I36" s="102" t="s">
        <v>39</v>
      </c>
      <c r="J36" s="103" t="str">
        <v/>
      </c>
      <c r="K36" s="102" t="s">
        <v>30</v>
      </c>
      <c r="L36" s="103" t="str">
        <v/>
      </c>
      <c r="M36" s="102" t="s">
        <v>32</v>
      </c>
      <c r="N36" s="103" t="str">
        <v/>
      </c>
      <c r="O36" s="96" t="s">
        <v>32</v>
      </c>
      <c r="P36" s="103" t="str">
        <v/>
      </c>
      <c r="Q36" s="102" t="s">
        <v>37</v>
      </c>
      <c r="R36" s="103" t="str">
        <v/>
      </c>
      <c r="S36" s="102" t="s">
        <v>39</v>
      </c>
      <c r="T36" s="103" t="str">
        <v/>
      </c>
      <c r="U36" s="102" t="s">
        <v>37</v>
      </c>
      <c r="V36" s="103" t="str">
        <v/>
      </c>
      <c r="W36" s="102" t="s">
        <v>36</v>
      </c>
      <c r="X36" s="103" t="str">
        <v/>
      </c>
      <c r="Y36" s="102" t="s">
        <v>36</v>
      </c>
      <c r="Z36" s="103" t="str">
        <v/>
      </c>
      <c r="AA36" s="96" t="s">
        <v>29</v>
      </c>
      <c r="AB36" s="116" t="str">
        <v/>
      </c>
      <c r="AC36" s="102" t="s">
        <v>39</v>
      </c>
      <c r="AD36" s="103" t="str">
        <v/>
      </c>
      <c r="AE36" s="102" t="s">
        <v>39</v>
      </c>
      <c r="AF36" s="103" t="str">
        <v/>
      </c>
      <c r="AG36" s="102" t="s">
        <v>36</v>
      </c>
      <c r="AH36" s="103" t="str">
        <v/>
      </c>
      <c r="AI36" s="102" t="s">
        <v>37</v>
      </c>
      <c r="AJ36" s="103" t="str">
        <v/>
      </c>
      <c r="AK36" s="102" t="s">
        <v>39</v>
      </c>
      <c r="AL36" s="103" t="str">
        <v/>
      </c>
      <c r="AM36" s="102" t="s">
        <v>39</v>
      </c>
      <c r="AN36" s="103" t="str">
        <v/>
      </c>
      <c r="AO36" s="102" t="s">
        <v>36</v>
      </c>
      <c r="AP36" s="103" t="str">
        <v/>
      </c>
      <c r="AQ36" s="102" t="s">
        <v>32</v>
      </c>
      <c r="AR36" s="10" t="str">
        <v/>
      </c>
    </row>
    <row r="37" spans="1:44" ht="12.75" customHeight="1">
      <c r="A37" s="99" t="s">
        <v>70</v>
      </c>
      <c r="B37" s="95" t="s">
        <v>88</v>
      </c>
      <c r="C37" s="96"/>
      <c r="D37" s="83"/>
      <c r="E37" s="102" t="s">
        <v>38</v>
      </c>
      <c r="F37" s="103" t="str">
        <v/>
      </c>
      <c r="G37" s="102" t="s">
        <v>32</v>
      </c>
      <c r="H37" s="103" t="str">
        <v/>
      </c>
      <c r="I37" s="102" t="s">
        <v>38</v>
      </c>
      <c r="J37" s="103" t="str">
        <v/>
      </c>
      <c r="K37" s="102" t="s">
        <v>33</v>
      </c>
      <c r="L37" s="103" t="str">
        <v/>
      </c>
      <c r="M37" s="102" t="s">
        <v>28</v>
      </c>
      <c r="N37" s="103" t="str">
        <v/>
      </c>
      <c r="O37" s="96" t="s">
        <v>32</v>
      </c>
      <c r="P37" s="103" t="str">
        <v/>
      </c>
      <c r="Q37" s="102" t="s">
        <v>38</v>
      </c>
      <c r="R37" s="103" t="str">
        <v/>
      </c>
      <c r="S37" s="102" t="s">
        <v>33</v>
      </c>
      <c r="T37" s="103" t="str">
        <v/>
      </c>
      <c r="U37" s="102" t="s">
        <v>28</v>
      </c>
      <c r="V37" s="103" t="str">
        <v/>
      </c>
      <c r="W37" s="102" t="s">
        <v>28</v>
      </c>
      <c r="X37" s="103" t="str">
        <v/>
      </c>
      <c r="Y37" s="102" t="s">
        <v>89</v>
      </c>
      <c r="Z37" s="103" t="str">
        <v/>
      </c>
      <c r="AA37" s="96" t="s">
        <v>29</v>
      </c>
      <c r="AB37" s="116" t="str">
        <v/>
      </c>
      <c r="AC37" s="102" t="s">
        <v>29</v>
      </c>
      <c r="AD37" s="103" t="str">
        <v/>
      </c>
      <c r="AE37" s="102" t="s">
        <v>28</v>
      </c>
      <c r="AF37" s="103" t="str">
        <v/>
      </c>
      <c r="AG37" s="102" t="s">
        <v>32</v>
      </c>
      <c r="AH37" s="103" t="str">
        <v/>
      </c>
      <c r="AI37" s="102" t="s">
        <v>33</v>
      </c>
      <c r="AJ37" s="103" t="str">
        <v/>
      </c>
      <c r="AK37" s="102" t="s">
        <v>32</v>
      </c>
      <c r="AL37" s="103" t="str">
        <v/>
      </c>
      <c r="AM37" s="102" t="s">
        <v>33</v>
      </c>
      <c r="AN37" s="103" t="str">
        <v/>
      </c>
      <c r="AO37" s="102" t="s">
        <v>33</v>
      </c>
      <c r="AP37" s="103" t="str">
        <v/>
      </c>
      <c r="AQ37" s="102" t="s">
        <v>38</v>
      </c>
      <c r="AR37" s="10" t="str">
        <v/>
      </c>
    </row>
    <row r="38" spans="1:44" ht="12.75" customHeight="1">
      <c r="A38" s="99" t="s">
        <v>74</v>
      </c>
      <c r="B38" s="95" t="s">
        <v>90</v>
      </c>
      <c r="C38" s="96"/>
      <c r="D38" s="83"/>
      <c r="E38" s="102" t="s">
        <v>39</v>
      </c>
      <c r="F38" s="103" t="str">
        <v/>
      </c>
      <c r="G38" s="102" t="s">
        <v>39</v>
      </c>
      <c r="H38" s="103" t="str">
        <v/>
      </c>
      <c r="I38" s="102" t="s">
        <v>36</v>
      </c>
      <c r="J38" s="103" t="str">
        <v/>
      </c>
      <c r="K38" s="102" t="s">
        <v>38</v>
      </c>
      <c r="L38" s="103" t="str">
        <v/>
      </c>
      <c r="M38" s="102" t="s">
        <v>39</v>
      </c>
      <c r="N38" s="103" t="str">
        <v/>
      </c>
      <c r="O38" s="96" t="s">
        <v>44</v>
      </c>
      <c r="P38" s="103" t="str">
        <v/>
      </c>
      <c r="Q38" s="102" t="s">
        <v>37</v>
      </c>
      <c r="R38" s="103" t="str">
        <v/>
      </c>
      <c r="S38" s="102" t="s">
        <v>31</v>
      </c>
      <c r="T38" s="103" t="str">
        <v/>
      </c>
      <c r="U38" s="102" t="s">
        <v>30</v>
      </c>
      <c r="V38" s="103" t="str">
        <v/>
      </c>
      <c r="W38" s="102" t="s">
        <v>39</v>
      </c>
      <c r="X38" s="103" t="str">
        <v/>
      </c>
      <c r="Y38" s="102" t="s">
        <v>39</v>
      </c>
      <c r="Z38" s="103" t="str">
        <v/>
      </c>
      <c r="AA38" s="96" t="s">
        <v>36</v>
      </c>
      <c r="AB38" s="116" t="str">
        <v/>
      </c>
      <c r="AC38" s="102" t="s">
        <v>36</v>
      </c>
      <c r="AD38" s="103" t="str">
        <v/>
      </c>
      <c r="AE38" s="102" t="s">
        <v>39</v>
      </c>
      <c r="AF38" s="103" t="str">
        <v/>
      </c>
      <c r="AG38" s="102" t="s">
        <v>37</v>
      </c>
      <c r="AH38" s="103" t="str">
        <v/>
      </c>
      <c r="AI38" s="102" t="s">
        <v>39</v>
      </c>
      <c r="AJ38" s="103" t="str">
        <v/>
      </c>
      <c r="AK38" s="102" t="s">
        <v>44</v>
      </c>
      <c r="AL38" s="103" t="str">
        <v/>
      </c>
      <c r="AM38" s="102" t="s">
        <v>39</v>
      </c>
      <c r="AN38" s="103" t="str">
        <v/>
      </c>
      <c r="AO38" s="102" t="s">
        <v>39</v>
      </c>
      <c r="AP38" s="103" t="str">
        <v/>
      </c>
      <c r="AQ38" s="102" t="s">
        <v>28</v>
      </c>
      <c r="AR38" s="10" t="str">
        <v/>
      </c>
    </row>
    <row r="39" spans="1:44" ht="12.75" customHeight="1">
      <c r="A39" s="99" t="s">
        <v>74</v>
      </c>
      <c r="B39" s="95" t="s">
        <v>91</v>
      </c>
      <c r="C39" s="98"/>
      <c r="D39" s="83"/>
      <c r="E39" s="104" t="s">
        <v>37</v>
      </c>
      <c r="F39" s="103" t="str">
        <v/>
      </c>
      <c r="G39" s="104" t="s">
        <v>39</v>
      </c>
      <c r="H39" s="103" t="str">
        <v/>
      </c>
      <c r="I39" s="104" t="s">
        <v>39</v>
      </c>
      <c r="J39" s="103" t="str">
        <v/>
      </c>
      <c r="K39" s="104" t="s">
        <v>36</v>
      </c>
      <c r="L39" s="103" t="str">
        <v/>
      </c>
      <c r="M39" s="104" t="s">
        <v>39</v>
      </c>
      <c r="N39" s="103" t="str">
        <v/>
      </c>
      <c r="O39" s="98" t="s">
        <v>37</v>
      </c>
      <c r="P39" s="103" t="str">
        <v/>
      </c>
      <c r="Q39" s="104" t="s">
        <v>39</v>
      </c>
      <c r="R39" s="103" t="str">
        <v/>
      </c>
      <c r="S39" s="104" t="s">
        <v>36</v>
      </c>
      <c r="T39" s="103" t="str">
        <v/>
      </c>
      <c r="U39" s="104" t="s">
        <v>37</v>
      </c>
      <c r="V39" s="103" t="str">
        <v/>
      </c>
      <c r="W39" s="104" t="s">
        <v>44</v>
      </c>
      <c r="X39" s="103" t="str">
        <v/>
      </c>
      <c r="Y39" s="104" t="s">
        <v>48</v>
      </c>
      <c r="Z39" s="103" t="str">
        <v/>
      </c>
      <c r="AA39" s="98" t="s">
        <v>36</v>
      </c>
      <c r="AB39" s="116" t="str">
        <v/>
      </c>
      <c r="AC39" s="104" t="s">
        <v>45</v>
      </c>
      <c r="AD39" s="103" t="str">
        <v/>
      </c>
      <c r="AE39" s="104" t="s">
        <v>39</v>
      </c>
      <c r="AF39" s="103" t="str">
        <v/>
      </c>
      <c r="AG39" s="104" t="s">
        <v>36</v>
      </c>
      <c r="AH39" s="103" t="str">
        <v/>
      </c>
      <c r="AI39" s="104" t="s">
        <v>39</v>
      </c>
      <c r="AJ39" s="103" t="str">
        <v/>
      </c>
      <c r="AK39" s="104" t="s">
        <v>31</v>
      </c>
      <c r="AL39" s="103" t="str">
        <v/>
      </c>
      <c r="AM39" s="104" t="s">
        <v>36</v>
      </c>
      <c r="AN39" s="103" t="str">
        <v/>
      </c>
      <c r="AO39" s="104" t="s">
        <v>36</v>
      </c>
      <c r="AP39" s="103" t="str">
        <v/>
      </c>
      <c r="AQ39" s="104" t="s">
        <v>44</v>
      </c>
      <c r="AR39" s="10" t="str">
        <v/>
      </c>
    </row>
    <row r="40" spans="1:44" ht="12.75" customHeight="1">
      <c r="A40" s="76" t="s">
        <v>92</v>
      </c>
      <c r="B40" s="77"/>
      <c r="C40" s="77"/>
      <c r="D40" s="78"/>
      <c r="E40" s="106"/>
      <c r="F40" s="107" t="str">
        <v/>
      </c>
      <c r="G40" s="108"/>
      <c r="H40" s="109" t="str">
        <v/>
      </c>
      <c r="I40" s="108"/>
      <c r="J40" s="109" t="str">
        <v/>
      </c>
      <c r="K40" s="108"/>
      <c r="L40" s="109" t="str">
        <v/>
      </c>
      <c r="M40" s="108"/>
      <c r="N40" s="109" t="str">
        <v/>
      </c>
      <c r="O40" s="111"/>
      <c r="P40" s="109" t="str">
        <v/>
      </c>
      <c r="Q40" s="108"/>
      <c r="R40" s="109" t="str">
        <v/>
      </c>
      <c r="S40" s="108"/>
      <c r="T40" s="109" t="str">
        <v/>
      </c>
      <c r="U40" s="108"/>
      <c r="V40" s="109" t="str">
        <v/>
      </c>
      <c r="W40" s="108"/>
      <c r="X40" s="109" t="str">
        <v/>
      </c>
      <c r="Y40" s="108"/>
      <c r="Z40" s="109" t="str">
        <v/>
      </c>
      <c r="AA40" s="111"/>
      <c r="AB40" s="118" t="str">
        <v/>
      </c>
      <c r="AC40" s="108"/>
      <c r="AD40" s="109" t="str">
        <v/>
      </c>
      <c r="AE40" s="108"/>
      <c r="AF40" s="109" t="str">
        <v/>
      </c>
      <c r="AG40" s="108"/>
      <c r="AH40" s="109" t="str">
        <v/>
      </c>
      <c r="AI40" s="108"/>
      <c r="AJ40" s="109" t="str">
        <v/>
      </c>
      <c r="AK40" s="108"/>
      <c r="AL40" s="109" t="str">
        <v/>
      </c>
      <c r="AM40" s="108"/>
      <c r="AN40" s="109" t="str">
        <v/>
      </c>
      <c r="AO40" s="108"/>
      <c r="AP40" s="109" t="str">
        <v/>
      </c>
      <c r="AQ40" s="108"/>
      <c r="AR40" s="81" t="str">
        <v/>
      </c>
    </row>
    <row r="41" spans="1:44" ht="12.75" customHeight="1">
      <c r="A41" s="99" t="s">
        <v>93</v>
      </c>
      <c r="B41" s="95" t="s">
        <v>94</v>
      </c>
      <c r="C41" s="96"/>
      <c r="D41" s="83"/>
      <c r="E41" s="102" t="s">
        <v>28</v>
      </c>
      <c r="F41" s="103" t="str">
        <v/>
      </c>
      <c r="G41" s="102" t="s">
        <v>39</v>
      </c>
      <c r="H41" s="103" t="str">
        <v/>
      </c>
      <c r="I41" s="102" t="s">
        <v>38</v>
      </c>
      <c r="J41" s="103" t="str">
        <v/>
      </c>
      <c r="K41" s="102" t="s">
        <v>33</v>
      </c>
      <c r="L41" s="103" t="str">
        <v/>
      </c>
      <c r="M41" s="102" t="s">
        <v>29</v>
      </c>
      <c r="N41" s="103" t="str">
        <v/>
      </c>
      <c r="O41" s="96" t="s">
        <v>44</v>
      </c>
      <c r="P41" s="103" t="str">
        <v/>
      </c>
      <c r="Q41" s="102" t="s">
        <v>28</v>
      </c>
      <c r="R41" s="103" t="str">
        <v/>
      </c>
      <c r="S41" s="102" t="s">
        <v>39</v>
      </c>
      <c r="T41" s="103" t="str">
        <v/>
      </c>
      <c r="U41" s="102" t="s">
        <v>28</v>
      </c>
      <c r="V41" s="103" t="str">
        <v/>
      </c>
      <c r="W41" s="102" t="s">
        <v>28</v>
      </c>
      <c r="X41" s="103" t="str">
        <v/>
      </c>
      <c r="Y41" s="102" t="s">
        <v>39</v>
      </c>
      <c r="Z41" s="103" t="str">
        <v/>
      </c>
      <c r="AA41" s="96" t="s">
        <v>38</v>
      </c>
      <c r="AB41" s="116" t="str">
        <v/>
      </c>
      <c r="AC41" s="102" t="s">
        <v>28</v>
      </c>
      <c r="AD41" s="103" t="str">
        <v/>
      </c>
      <c r="AE41" s="102" t="s">
        <v>32</v>
      </c>
      <c r="AF41" s="103" t="str">
        <v/>
      </c>
      <c r="AG41" s="102" t="s">
        <v>37</v>
      </c>
      <c r="AH41" s="103" t="str">
        <v/>
      </c>
      <c r="AI41" s="102" t="s">
        <v>38</v>
      </c>
      <c r="AJ41" s="103" t="str">
        <v/>
      </c>
      <c r="AK41" s="102" t="s">
        <v>38</v>
      </c>
      <c r="AL41" s="103" t="str">
        <v/>
      </c>
      <c r="AM41" s="102" t="s">
        <v>38</v>
      </c>
      <c r="AN41" s="103" t="str">
        <v/>
      </c>
      <c r="AO41" s="102" t="s">
        <v>28</v>
      </c>
      <c r="AP41" s="103" t="str">
        <v/>
      </c>
      <c r="AQ41" s="102" t="s">
        <v>28</v>
      </c>
      <c r="AR41" s="10" t="str">
        <v/>
      </c>
    </row>
    <row r="42" spans="1:44" ht="12.75" customHeight="1">
      <c r="A42" s="99" t="s">
        <v>95</v>
      </c>
      <c r="B42" s="95" t="s">
        <v>96</v>
      </c>
      <c r="C42" s="96"/>
      <c r="D42" s="83"/>
      <c r="E42" s="102" t="s">
        <v>39</v>
      </c>
      <c r="F42" s="103" t="str">
        <v/>
      </c>
      <c r="G42" s="102" t="s">
        <v>38</v>
      </c>
      <c r="H42" s="103" t="str">
        <v/>
      </c>
      <c r="I42" s="102" t="s">
        <v>39</v>
      </c>
      <c r="J42" s="103" t="str">
        <v/>
      </c>
      <c r="K42" s="102" t="s">
        <v>38</v>
      </c>
      <c r="L42" s="103" t="str">
        <v/>
      </c>
      <c r="M42" s="102" t="s">
        <v>39</v>
      </c>
      <c r="N42" s="103" t="str">
        <v/>
      </c>
      <c r="O42" s="96" t="s">
        <v>28</v>
      </c>
      <c r="P42" s="103" t="str">
        <v/>
      </c>
      <c r="Q42" s="102" t="s">
        <v>28</v>
      </c>
      <c r="R42" s="103" t="str">
        <v/>
      </c>
      <c r="S42" s="102" t="s">
        <v>33</v>
      </c>
      <c r="T42" s="103" t="str">
        <v/>
      </c>
      <c r="U42" s="102" t="s">
        <v>32</v>
      </c>
      <c r="V42" s="103" t="str">
        <v/>
      </c>
      <c r="W42" s="102" t="s">
        <v>38</v>
      </c>
      <c r="X42" s="103" t="str">
        <v/>
      </c>
      <c r="Y42" s="102" t="s">
        <v>33</v>
      </c>
      <c r="Z42" s="103" t="str">
        <v/>
      </c>
      <c r="AA42" s="96" t="s">
        <v>32</v>
      </c>
      <c r="AB42" s="116" t="str">
        <v/>
      </c>
      <c r="AC42" s="102" t="s">
        <v>38</v>
      </c>
      <c r="AD42" s="103" t="str">
        <v/>
      </c>
      <c r="AE42" s="102" t="s">
        <v>32</v>
      </c>
      <c r="AF42" s="103" t="str">
        <v/>
      </c>
      <c r="AG42" s="102" t="s">
        <v>29</v>
      </c>
      <c r="AH42" s="103" t="str">
        <v/>
      </c>
      <c r="AI42" s="102" t="s">
        <v>33</v>
      </c>
      <c r="AJ42" s="103" t="str">
        <v/>
      </c>
      <c r="AK42" s="102" t="s">
        <v>32</v>
      </c>
      <c r="AL42" s="103" t="str">
        <v/>
      </c>
      <c r="AM42" s="102" t="s">
        <v>33</v>
      </c>
      <c r="AN42" s="103" t="str">
        <v/>
      </c>
      <c r="AO42" s="102" t="s">
        <v>33</v>
      </c>
      <c r="AP42" s="103" t="str">
        <v/>
      </c>
      <c r="AQ42" s="102" t="s">
        <v>28</v>
      </c>
      <c r="AR42" s="10" t="str">
        <v/>
      </c>
    </row>
    <row r="43" spans="1:44" ht="12.75" customHeight="1">
      <c r="A43" s="99" t="s">
        <v>70</v>
      </c>
      <c r="B43" s="95" t="s">
        <v>97</v>
      </c>
      <c r="C43" s="96"/>
      <c r="D43" s="83"/>
      <c r="E43" s="102" t="s">
        <v>36</v>
      </c>
      <c r="F43" s="103" t="str">
        <v/>
      </c>
      <c r="G43" s="102" t="s">
        <v>37</v>
      </c>
      <c r="H43" s="103" t="str">
        <v/>
      </c>
      <c r="I43" s="102" t="s">
        <v>48</v>
      </c>
      <c r="J43" s="103" t="str">
        <v/>
      </c>
      <c r="K43" s="102" t="s">
        <v>37</v>
      </c>
      <c r="L43" s="103" t="str">
        <v/>
      </c>
      <c r="M43" s="102" t="s">
        <v>37</v>
      </c>
      <c r="N43" s="103" t="str">
        <v/>
      </c>
      <c r="O43" s="96" t="s">
        <v>28</v>
      </c>
      <c r="P43" s="103" t="str">
        <v/>
      </c>
      <c r="Q43" s="102" t="s">
        <v>48</v>
      </c>
      <c r="R43" s="103" t="str">
        <v/>
      </c>
      <c r="S43" s="102" t="s">
        <v>37</v>
      </c>
      <c r="T43" s="103" t="str">
        <v/>
      </c>
      <c r="U43" s="102" t="s">
        <v>37</v>
      </c>
      <c r="V43" s="103" t="str">
        <v/>
      </c>
      <c r="W43" s="102" t="s">
        <v>36</v>
      </c>
      <c r="X43" s="103" t="str">
        <v/>
      </c>
      <c r="Y43" s="102" t="s">
        <v>36</v>
      </c>
      <c r="Z43" s="103" t="str">
        <v/>
      </c>
      <c r="AA43" s="96" t="s">
        <v>38</v>
      </c>
      <c r="AB43" s="116" t="str">
        <v/>
      </c>
      <c r="AC43" s="102" t="s">
        <v>44</v>
      </c>
      <c r="AD43" s="103" t="str">
        <v/>
      </c>
      <c r="AE43" s="102" t="s">
        <v>37</v>
      </c>
      <c r="AF43" s="103" t="str">
        <v/>
      </c>
      <c r="AG43" s="102" t="s">
        <v>36</v>
      </c>
      <c r="AH43" s="103" t="str">
        <v/>
      </c>
      <c r="AI43" s="102" t="s">
        <v>30</v>
      </c>
      <c r="AJ43" s="103" t="str">
        <v/>
      </c>
      <c r="AK43" s="102" t="s">
        <v>48</v>
      </c>
      <c r="AL43" s="103" t="str">
        <v/>
      </c>
      <c r="AM43" s="102" t="s">
        <v>36</v>
      </c>
      <c r="AN43" s="103" t="str">
        <v/>
      </c>
      <c r="AO43" s="102" t="s">
        <v>36</v>
      </c>
      <c r="AP43" s="103" t="str">
        <v/>
      </c>
      <c r="AQ43" s="102" t="s">
        <v>44</v>
      </c>
      <c r="AR43" s="10" t="str">
        <v/>
      </c>
    </row>
    <row r="44" spans="1:44" ht="12.75" customHeight="1">
      <c r="A44" s="99" t="s">
        <v>70</v>
      </c>
      <c r="B44" s="95" t="s">
        <v>98</v>
      </c>
      <c r="C44" s="96"/>
      <c r="D44" s="83"/>
      <c r="E44" s="102" t="s">
        <v>44</v>
      </c>
      <c r="F44" s="103" t="str">
        <v/>
      </c>
      <c r="G44" s="102" t="s">
        <v>49</v>
      </c>
      <c r="H44" s="103" t="str">
        <v/>
      </c>
      <c r="I44" s="102" t="s">
        <v>36</v>
      </c>
      <c r="J44" s="103" t="str">
        <v/>
      </c>
      <c r="K44" s="102" t="s">
        <v>36</v>
      </c>
      <c r="L44" s="103" t="str">
        <v/>
      </c>
      <c r="M44" s="102" t="s">
        <v>39</v>
      </c>
      <c r="N44" s="103" t="str">
        <v/>
      </c>
      <c r="O44" s="96" t="s">
        <v>44</v>
      </c>
      <c r="P44" s="103" t="str">
        <v/>
      </c>
      <c r="Q44" s="102" t="s">
        <v>36</v>
      </c>
      <c r="R44" s="103" t="str">
        <v/>
      </c>
      <c r="S44" s="102" t="s">
        <v>44</v>
      </c>
      <c r="T44" s="103" t="str">
        <v/>
      </c>
      <c r="U44" s="102" t="s">
        <v>37</v>
      </c>
      <c r="V44" s="103" t="str">
        <v/>
      </c>
      <c r="W44" s="102" t="s">
        <v>36</v>
      </c>
      <c r="X44" s="103" t="str">
        <v/>
      </c>
      <c r="Y44" s="102" t="s">
        <v>36</v>
      </c>
      <c r="Z44" s="103" t="str">
        <v/>
      </c>
      <c r="AA44" s="96" t="s">
        <v>44</v>
      </c>
      <c r="AB44" s="116" t="str">
        <v/>
      </c>
      <c r="AC44" s="102" t="s">
        <v>48</v>
      </c>
      <c r="AD44" s="103" t="str">
        <v/>
      </c>
      <c r="AE44" s="102" t="s">
        <v>37</v>
      </c>
      <c r="AF44" s="103" t="str">
        <v/>
      </c>
      <c r="AG44" s="102" t="s">
        <v>37</v>
      </c>
      <c r="AH44" s="103" t="str">
        <v/>
      </c>
      <c r="AI44" s="102" t="s">
        <v>44</v>
      </c>
      <c r="AJ44" s="103" t="str">
        <v/>
      </c>
      <c r="AK44" s="102" t="s">
        <v>44</v>
      </c>
      <c r="AL44" s="103" t="str">
        <v/>
      </c>
      <c r="AM44" s="102" t="s">
        <v>36</v>
      </c>
      <c r="AN44" s="103" t="str">
        <v/>
      </c>
      <c r="AO44" s="102" t="s">
        <v>36</v>
      </c>
      <c r="AP44" s="103" t="str">
        <v/>
      </c>
      <c r="AQ44" s="102" t="s">
        <v>36</v>
      </c>
      <c r="AR44" s="10" t="str">
        <v/>
      </c>
    </row>
    <row r="45" spans="1:44" ht="12.75" customHeight="1">
      <c r="A45" s="99" t="s">
        <v>74</v>
      </c>
      <c r="B45" s="95" t="s">
        <v>99</v>
      </c>
      <c r="C45" s="96"/>
      <c r="D45" s="83"/>
      <c r="E45" s="102" t="s">
        <v>45</v>
      </c>
      <c r="F45" s="103" t="str">
        <v/>
      </c>
      <c r="G45" s="102" t="s">
        <v>37</v>
      </c>
      <c r="H45" s="103" t="str">
        <v/>
      </c>
      <c r="I45" s="102" t="s">
        <v>45</v>
      </c>
      <c r="J45" s="103" t="str">
        <v/>
      </c>
      <c r="K45" s="102" t="s">
        <v>48</v>
      </c>
      <c r="L45" s="103" t="str">
        <v/>
      </c>
      <c r="M45" s="102" t="s">
        <v>45</v>
      </c>
      <c r="N45" s="103" t="str">
        <v/>
      </c>
      <c r="O45" s="96" t="s">
        <v>28</v>
      </c>
      <c r="P45" s="103" t="str">
        <v/>
      </c>
      <c r="Q45" s="102" t="s">
        <v>45</v>
      </c>
      <c r="R45" s="103" t="str">
        <v/>
      </c>
      <c r="S45" s="102" t="s">
        <v>100</v>
      </c>
      <c r="T45" s="103" t="str">
        <v/>
      </c>
      <c r="U45" s="102" t="s">
        <v>44</v>
      </c>
      <c r="V45" s="103" t="str">
        <v/>
      </c>
      <c r="W45" s="102" t="s">
        <v>51</v>
      </c>
      <c r="X45" s="103" t="str">
        <v/>
      </c>
      <c r="Y45" s="102" t="s">
        <v>45</v>
      </c>
      <c r="Z45" s="103" t="str">
        <v/>
      </c>
      <c r="AA45" s="96" t="s">
        <v>39</v>
      </c>
      <c r="AB45" s="116" t="str">
        <v/>
      </c>
      <c r="AC45" s="102" t="s">
        <v>44</v>
      </c>
      <c r="AD45" s="103" t="str">
        <v/>
      </c>
      <c r="AE45" s="102" t="s">
        <v>44</v>
      </c>
      <c r="AF45" s="103" t="str">
        <v/>
      </c>
      <c r="AG45" s="102" t="s">
        <v>44</v>
      </c>
      <c r="AH45" s="103" t="str">
        <v/>
      </c>
      <c r="AI45" s="102" t="s">
        <v>37</v>
      </c>
      <c r="AJ45" s="103" t="str">
        <v/>
      </c>
      <c r="AK45" s="102" t="s">
        <v>51</v>
      </c>
      <c r="AL45" s="103" t="str">
        <v/>
      </c>
      <c r="AM45" s="102" t="s">
        <v>45</v>
      </c>
      <c r="AN45" s="103" t="str">
        <v/>
      </c>
      <c r="AO45" s="102" t="s">
        <v>45</v>
      </c>
      <c r="AP45" s="103" t="str">
        <v/>
      </c>
      <c r="AQ45" s="102" t="s">
        <v>44</v>
      </c>
      <c r="AR45" s="10" t="str">
        <v/>
      </c>
    </row>
    <row r="46" spans="1:44" ht="12.75" customHeight="1">
      <c r="A46" s="99" t="s">
        <v>74</v>
      </c>
      <c r="B46" s="95" t="s">
        <v>101</v>
      </c>
      <c r="C46" s="98"/>
      <c r="D46" s="83"/>
      <c r="E46" s="104" t="s">
        <v>38</v>
      </c>
      <c r="F46" s="103" t="str">
        <v/>
      </c>
      <c r="G46" s="104" t="s">
        <v>28</v>
      </c>
      <c r="H46" s="103" t="str">
        <v/>
      </c>
      <c r="I46" s="104" t="s">
        <v>39</v>
      </c>
      <c r="J46" s="103" t="str">
        <v/>
      </c>
      <c r="K46" s="104" t="s">
        <v>36</v>
      </c>
      <c r="L46" s="103" t="str">
        <v/>
      </c>
      <c r="M46" s="104" t="s">
        <v>39</v>
      </c>
      <c r="N46" s="103" t="str">
        <v/>
      </c>
      <c r="O46" s="98" t="s">
        <v>44</v>
      </c>
      <c r="P46" s="103" t="str">
        <v/>
      </c>
      <c r="Q46" s="104" t="s">
        <v>39</v>
      </c>
      <c r="R46" s="103" t="str">
        <v/>
      </c>
      <c r="S46" s="104" t="s">
        <v>31</v>
      </c>
      <c r="T46" s="103" t="str">
        <v/>
      </c>
      <c r="U46" s="104" t="s">
        <v>37</v>
      </c>
      <c r="V46" s="103" t="str">
        <v/>
      </c>
      <c r="W46" s="104" t="s">
        <v>39</v>
      </c>
      <c r="X46" s="103" t="str">
        <v/>
      </c>
      <c r="Y46" s="104" t="s">
        <v>36</v>
      </c>
      <c r="Z46" s="103" t="str">
        <v/>
      </c>
      <c r="AA46" s="98" t="s">
        <v>44</v>
      </c>
      <c r="AB46" s="116" t="str">
        <v/>
      </c>
      <c r="AC46" s="104" t="s">
        <v>39</v>
      </c>
      <c r="AD46" s="103" t="str">
        <v/>
      </c>
      <c r="AE46" s="104" t="s">
        <v>39</v>
      </c>
      <c r="AF46" s="103" t="str">
        <v/>
      </c>
      <c r="AG46" s="104" t="s">
        <v>38</v>
      </c>
      <c r="AH46" s="103" t="str">
        <v/>
      </c>
      <c r="AI46" s="104" t="s">
        <v>36</v>
      </c>
      <c r="AJ46" s="103" t="str">
        <v/>
      </c>
      <c r="AK46" s="104" t="s">
        <v>31</v>
      </c>
      <c r="AL46" s="103" t="str">
        <v/>
      </c>
      <c r="AM46" s="104" t="s">
        <v>31</v>
      </c>
      <c r="AN46" s="103" t="str">
        <v/>
      </c>
      <c r="AO46" s="104" t="s">
        <v>36</v>
      </c>
      <c r="AP46" s="103" t="str">
        <v/>
      </c>
      <c r="AQ46" s="104" t="s">
        <v>32</v>
      </c>
      <c r="AR46" s="10" t="str">
        <v/>
      </c>
    </row>
    <row r="47" spans="1:44" ht="12.75" customHeight="1">
      <c r="A47" s="76" t="s">
        <v>102</v>
      </c>
      <c r="B47" s="77"/>
      <c r="C47" s="77"/>
      <c r="D47" s="78"/>
      <c r="E47" s="106"/>
      <c r="F47" s="107" t="str">
        <f t="array" ref="F47:F53">IF(ISBLANK($C$6:$C$46), "", IF(EXACT($C$6:$C$46, E13:E53), 3, IF(SIGN(LEFT($C$6:$C$46, 1) - RIGHT($C$6:$C$46, 1)) = SIGN(LEFT(E13:E53, 1) - RIGHT(E13:E53, 1)), 1, 0)))</f>
        <v/>
      </c>
      <c r="G47" s="108"/>
      <c r="H47" s="109" t="str">
        <f t="array" ref="H47:H53">IF(ISBLANK($C$6:$C$46), "", IF(EXACT($C$6:$C$46, G13:G53), 3, IF(SIGN(LEFT($C$6:$C$46, 1) - RIGHT($C$6:$C$46, 1)) = SIGN(LEFT(G13:G53, 1) - RIGHT(G13:G53, 1)), 1, 0)))</f>
        <v/>
      </c>
      <c r="I47" s="108"/>
      <c r="J47" s="109" t="str">
        <f t="array" ref="J47:J53">IF(ISBLANK($C$6:$C$46), "", IF(EXACT($C$6:$C$46, I13:I53), 3, IF(SIGN(LEFT($C$6:$C$46, 1) - RIGHT($C$6:$C$46, 1)) = SIGN(LEFT(I13:I53, 1) - RIGHT(I13:I53, 1)), 1, 0)))</f>
        <v/>
      </c>
      <c r="K47" s="108"/>
      <c r="L47" s="109" t="str">
        <f t="array" ref="L47:L53">IF(ISBLANK($C$6:$C$46), "", IF(EXACT($C$6:$C$46, K13:K53), 3, IF(SIGN(LEFT($C$6:$C$46, 1) - RIGHT($C$6:$C$46, 1)) = SIGN(LEFT(K13:K53, 1) - RIGHT(K13:K53, 1)), 1, 0)))</f>
        <v/>
      </c>
      <c r="M47" s="108"/>
      <c r="N47" s="109" t="str">
        <f t="array" ref="N47:N53">IF(ISBLANK($C$6:$C$46), "", IF(EXACT($C$6:$C$46, M13:M53), 3, IF(SIGN(LEFT($C$6:$C$46, 1) - RIGHT($C$6:$C$46, 1)) = SIGN(LEFT(M13:M53, 1) - RIGHT(M13:M53, 1)), 1, 0)))</f>
        <v/>
      </c>
      <c r="O47" s="111"/>
      <c r="P47" s="109" t="str">
        <f t="array" ref="P47:P53">IF(ISBLANK($C$6:$C$46), "", IF(EXACT($C$6:$C$46, O13:O53), 3, IF(SIGN(LEFT($C$6:$C$46, 1) - RIGHT($C$6:$C$46, 1)) = SIGN(LEFT(O13:O53, 1) - RIGHT(O13:O53, 1)), 1, 0)))</f>
        <v/>
      </c>
      <c r="Q47" s="108"/>
      <c r="R47" s="109" t="str">
        <f t="array" ref="R47:R53">IF(ISBLANK($C$6:$C$46), "", IF(EXACT($C$6:$C$46, Q13:Q53), 3, IF(SIGN(LEFT($C$6:$C$46, 1) - RIGHT($C$6:$C$46, 1)) = SIGN(LEFT(Q13:Q53, 1) - RIGHT(Q13:Q53, 1)), 1, 0)))</f>
        <v/>
      </c>
      <c r="S47" s="108"/>
      <c r="T47" s="109" t="str">
        <f t="array" ref="T47:T53">IF(ISBLANK($C$6:$C$46), "", IF(EXACT($C$6:$C$46, S13:S53), 3, IF(SIGN(LEFT($C$6:$C$46, 1) - RIGHT($C$6:$C$46, 1)) = SIGN(LEFT(S13:S53, 1) - RIGHT(S13:S53, 1)), 1, 0)))</f>
        <v/>
      </c>
      <c r="U47" s="108"/>
      <c r="V47" s="109" t="str">
        <f t="array" ref="V47:V53">IF(ISBLANK($C$6:$C$46), "", IF(EXACT($C$6:$C$46, U13:U53), 3, IF(SIGN(LEFT($C$6:$C$46, 1) - RIGHT($C$6:$C$46, 1)) = SIGN(LEFT(U13:U53, 1) - RIGHT(U13:U53, 1)), 1, 0)))</f>
        <v/>
      </c>
      <c r="W47" s="108"/>
      <c r="X47" s="109" t="str">
        <f t="array" ref="X47:X53">IF(ISBLANK($C$6:$C$46), "", IF(EXACT($C$6:$C$46, W13:W53), 3, IF(SIGN(LEFT($C$6:$C$46, 1) - RIGHT($C$6:$C$46, 1)) = SIGN(LEFT(W13:W53, 1) - RIGHT(W13:W53, 1)), 1, 0)))</f>
        <v/>
      </c>
      <c r="Y47" s="108"/>
      <c r="Z47" s="109" t="str">
        <f t="array" ref="Z47:Z53">IF(ISBLANK($C$6:$C$46), "", IF(EXACT($C$6:$C$46, Y13:Y53), 3, IF(SIGN(LEFT($C$6:$C$46, 1) - RIGHT($C$6:$C$46, 1)) = SIGN(LEFT(Y13:Y53, 1) - RIGHT(Y13:Y53, 1)), 1, 0)))</f>
        <v/>
      </c>
      <c r="AA47" s="111"/>
      <c r="AB47" s="118" t="str">
        <f t="array" ref="AB47:AB53">IF(ISBLANK($C$6:$C$46), "", IF(EXACT($C$6:$C$46, AA13:AA53), 3, IF(SIGN(LEFT($C$6:$C$46, 1) - RIGHT($C$6:$C$46, 1)) = SIGN(LEFT(AA13:AA53, 1) - RIGHT(AA13:AA53, 1)), 1, 0)))</f>
        <v/>
      </c>
      <c r="AC47" s="108"/>
      <c r="AD47" s="109" t="str">
        <f t="array" ref="AD47:AD53">IF(ISBLANK($C$6:$C$46), "", IF(EXACT($C$6:$C$46, AC13:AC53), 3, IF(SIGN(LEFT($C$6:$C$46, 1) - RIGHT($C$6:$C$46, 1)) = SIGN(LEFT(AC13:AC53, 1) - RIGHT(AC13:AC53, 1)), 1, 0)))</f>
        <v/>
      </c>
      <c r="AE47" s="108"/>
      <c r="AF47" s="109" t="str">
        <f t="array" ref="AF47:AF53">IF(ISBLANK($C$6:$C$46), "", IF(EXACT($C$6:$C$46, AE13:AE53), 3, IF(SIGN(LEFT($C$6:$C$46, 1) - RIGHT($C$6:$C$46, 1)) = SIGN(LEFT(AE13:AE53, 1) - RIGHT(AE13:AE53, 1)), 1, 0)))</f>
        <v/>
      </c>
      <c r="AG47" s="108"/>
      <c r="AH47" s="109" t="str">
        <f t="array" ref="AH47:AH53">IF(ISBLANK($C$6:$C$46), "", IF(EXACT($C$6:$C$46, AG13:AG53), 3, IF(SIGN(LEFT($C$6:$C$46, 1) - RIGHT($C$6:$C$46, 1)) = SIGN(LEFT(AG13:AG53, 1) - RIGHT(AG13:AG53, 1)), 1, 0)))</f>
        <v/>
      </c>
      <c r="AI47" s="108"/>
      <c r="AJ47" s="109" t="str">
        <f t="array" ref="AJ47:AJ53">IF(ISBLANK($C$6:$C$46), "", IF(EXACT($C$6:$C$46, AI13:AI53), 3, IF(SIGN(LEFT($C$6:$C$46, 1) - RIGHT($C$6:$C$46, 1)) = SIGN(LEFT(AI13:AI53, 1) - RIGHT(AI13:AI53, 1)), 1, 0)))</f>
        <v/>
      </c>
      <c r="AK47" s="108"/>
      <c r="AL47" s="109" t="str">
        <f t="array" ref="AL47:AL53">IF(ISBLANK($C$6:$C$46), "", IF(EXACT($C$6:$C$46, AK13:AK53), 3, IF(SIGN(LEFT($C$6:$C$46, 1) - RIGHT($C$6:$C$46, 1)) = SIGN(LEFT(AK13:AK53, 1) - RIGHT(AK13:AK53, 1)), 1, 0)))</f>
        <v/>
      </c>
      <c r="AM47" s="108"/>
      <c r="AN47" s="109" t="str">
        <f t="array" ref="AN47:AN53">IF(ISBLANK($C$6:$C$46), "", IF(EXACT($C$6:$C$46, AM13:AM53), 3, IF(SIGN(LEFT($C$6:$C$46, 1) - RIGHT($C$6:$C$46, 1)) = SIGN(LEFT(AM13:AM53, 1) - RIGHT(AM13:AM53, 1)), 1, 0)))</f>
        <v/>
      </c>
      <c r="AO47" s="108"/>
      <c r="AP47" s="109" t="str">
        <f t="array" ref="AP47:AP53">IF(ISBLANK($C$6:$C$46), "", IF(EXACT($C$6:$C$46, AO13:AO53), 3, IF(SIGN(LEFT($C$6:$C$46, 1) - RIGHT($C$6:$C$46, 1)) = SIGN(LEFT(AO13:AO53, 1) - RIGHT(AO13:AO53, 1)), 1, 0)))</f>
        <v/>
      </c>
      <c r="AQ47" s="108"/>
      <c r="AR47" s="81" t="str">
        <f t="array" ref="AR47:AR53">IF(ISBLANK($C$6:$C$46), "", IF(EXACT($C$6:$C$46, AQ13:AQ53), 3, IF(SIGN(LEFT($C$6:$C$46, 1) - RIGHT($C$6:$C$46, 1)) = SIGN(LEFT(AQ13:AQ53, 1) - RIGHT(AQ13:AQ53, 1)), 1, 0)))</f>
        <v/>
      </c>
    </row>
    <row r="48" spans="1:44" ht="12.75" customHeight="1">
      <c r="A48" s="99" t="s">
        <v>93</v>
      </c>
      <c r="B48" s="95" t="s">
        <v>103</v>
      </c>
      <c r="C48" s="96"/>
      <c r="D48" s="83"/>
      <c r="E48" s="102" t="s">
        <v>28</v>
      </c>
      <c r="F48" s="103" t="str">
        <v/>
      </c>
      <c r="G48" s="102" t="s">
        <v>39</v>
      </c>
      <c r="H48" s="103" t="str">
        <v/>
      </c>
      <c r="I48" s="102" t="s">
        <v>38</v>
      </c>
      <c r="J48" s="103" t="str">
        <v/>
      </c>
      <c r="K48" s="102" t="s">
        <v>33</v>
      </c>
      <c r="L48" s="103" t="str">
        <v/>
      </c>
      <c r="M48" s="102" t="s">
        <v>29</v>
      </c>
      <c r="N48" s="103" t="str">
        <v/>
      </c>
      <c r="O48" s="96" t="s">
        <v>32</v>
      </c>
      <c r="P48" s="103" t="str">
        <v/>
      </c>
      <c r="Q48" s="102" t="s">
        <v>28</v>
      </c>
      <c r="R48" s="103" t="str">
        <v/>
      </c>
      <c r="S48" s="102" t="s">
        <v>39</v>
      </c>
      <c r="T48" s="103" t="str">
        <v/>
      </c>
      <c r="U48" s="102" t="s">
        <v>28</v>
      </c>
      <c r="V48" s="103" t="str">
        <v/>
      </c>
      <c r="W48" s="102" t="s">
        <v>28</v>
      </c>
      <c r="X48" s="103" t="str">
        <v/>
      </c>
      <c r="Y48" s="102" t="s">
        <v>39</v>
      </c>
      <c r="Z48" s="103" t="str">
        <v/>
      </c>
      <c r="AA48" s="96" t="s">
        <v>38</v>
      </c>
      <c r="AB48" s="116" t="str">
        <v/>
      </c>
      <c r="AC48" s="102" t="s">
        <v>28</v>
      </c>
      <c r="AD48" s="103" t="str">
        <v/>
      </c>
      <c r="AE48" s="102" t="s">
        <v>32</v>
      </c>
      <c r="AF48" s="103" t="str">
        <v/>
      </c>
      <c r="AG48" s="102" t="s">
        <v>37</v>
      </c>
      <c r="AH48" s="103" t="str">
        <v/>
      </c>
      <c r="AI48" s="102" t="s">
        <v>38</v>
      </c>
      <c r="AJ48" s="103" t="str">
        <v/>
      </c>
      <c r="AK48" s="102" t="s">
        <v>38</v>
      </c>
      <c r="AL48" s="103" t="str">
        <v/>
      </c>
      <c r="AM48" s="102" t="s">
        <v>38</v>
      </c>
      <c r="AN48" s="103" t="str">
        <v/>
      </c>
      <c r="AO48" s="102" t="s">
        <v>28</v>
      </c>
      <c r="AP48" s="103" t="str">
        <v/>
      </c>
      <c r="AQ48" s="102" t="s">
        <v>28</v>
      </c>
      <c r="AR48" s="10" t="str">
        <v/>
      </c>
    </row>
    <row r="49" spans="1:44" ht="12.75" customHeight="1">
      <c r="A49" s="99" t="s">
        <v>95</v>
      </c>
      <c r="B49" s="95" t="s">
        <v>104</v>
      </c>
      <c r="C49" s="96"/>
      <c r="D49" s="83"/>
      <c r="E49" s="102" t="s">
        <v>39</v>
      </c>
      <c r="F49" s="103" t="str">
        <v/>
      </c>
      <c r="G49" s="102" t="s">
        <v>38</v>
      </c>
      <c r="H49" s="103" t="str">
        <v/>
      </c>
      <c r="I49" s="102" t="s">
        <v>39</v>
      </c>
      <c r="J49" s="103" t="str">
        <v/>
      </c>
      <c r="K49" s="102" t="s">
        <v>38</v>
      </c>
      <c r="L49" s="103" t="str">
        <v/>
      </c>
      <c r="M49" s="102" t="s">
        <v>39</v>
      </c>
      <c r="N49" s="103" t="str">
        <v/>
      </c>
      <c r="O49" s="96" t="s">
        <v>28</v>
      </c>
      <c r="P49" s="103" t="str">
        <v/>
      </c>
      <c r="Q49" s="102" t="s">
        <v>28</v>
      </c>
      <c r="R49" s="103" t="str">
        <v/>
      </c>
      <c r="S49" s="102" t="s">
        <v>33</v>
      </c>
      <c r="T49" s="103" t="str">
        <v/>
      </c>
      <c r="U49" s="102" t="s">
        <v>32</v>
      </c>
      <c r="V49" s="103" t="str">
        <v/>
      </c>
      <c r="W49" s="102" t="s">
        <v>38</v>
      </c>
      <c r="X49" s="103" t="str">
        <v/>
      </c>
      <c r="Y49" s="102" t="s">
        <v>33</v>
      </c>
      <c r="Z49" s="103" t="str">
        <v/>
      </c>
      <c r="AA49" s="96" t="s">
        <v>32</v>
      </c>
      <c r="AB49" s="116" t="str">
        <v/>
      </c>
      <c r="AC49" s="102" t="s">
        <v>38</v>
      </c>
      <c r="AD49" s="103" t="str">
        <v/>
      </c>
      <c r="AE49" s="102" t="s">
        <v>32</v>
      </c>
      <c r="AF49" s="103" t="str">
        <v/>
      </c>
      <c r="AG49" s="102" t="s">
        <v>29</v>
      </c>
      <c r="AH49" s="103" t="str">
        <v/>
      </c>
      <c r="AI49" s="102" t="s">
        <v>33</v>
      </c>
      <c r="AJ49" s="103" t="str">
        <v/>
      </c>
      <c r="AK49" s="102" t="s">
        <v>32</v>
      </c>
      <c r="AL49" s="103" t="str">
        <v/>
      </c>
      <c r="AM49" s="102" t="s">
        <v>33</v>
      </c>
      <c r="AN49" s="103" t="str">
        <v/>
      </c>
      <c r="AO49" s="102" t="s">
        <v>33</v>
      </c>
      <c r="AP49" s="103" t="str">
        <v/>
      </c>
      <c r="AQ49" s="102" t="s">
        <v>28</v>
      </c>
      <c r="AR49" s="10" t="str">
        <v/>
      </c>
    </row>
    <row r="50" spans="1:44" ht="12.75" customHeight="1">
      <c r="A50" s="99" t="s">
        <v>70</v>
      </c>
      <c r="B50" s="95" t="s">
        <v>105</v>
      </c>
      <c r="C50" s="96"/>
      <c r="D50" s="83"/>
      <c r="E50" s="102" t="s">
        <v>36</v>
      </c>
      <c r="F50" s="103" t="str">
        <v/>
      </c>
      <c r="G50" s="102" t="s">
        <v>37</v>
      </c>
      <c r="H50" s="103" t="str">
        <v/>
      </c>
      <c r="I50" s="102" t="s">
        <v>48</v>
      </c>
      <c r="J50" s="103" t="str">
        <v/>
      </c>
      <c r="K50" s="102" t="s">
        <v>37</v>
      </c>
      <c r="L50" s="103" t="str">
        <v/>
      </c>
      <c r="M50" s="102" t="s">
        <v>37</v>
      </c>
      <c r="N50" s="103" t="str">
        <v/>
      </c>
      <c r="O50" s="96" t="s">
        <v>28</v>
      </c>
      <c r="P50" s="103" t="str">
        <v/>
      </c>
      <c r="Q50" s="102" t="s">
        <v>48</v>
      </c>
      <c r="R50" s="103" t="str">
        <v/>
      </c>
      <c r="S50" s="102" t="s">
        <v>37</v>
      </c>
      <c r="T50" s="103" t="str">
        <v/>
      </c>
      <c r="U50" s="102" t="s">
        <v>37</v>
      </c>
      <c r="V50" s="103" t="str">
        <v/>
      </c>
      <c r="W50" s="102" t="s">
        <v>36</v>
      </c>
      <c r="X50" s="103" t="str">
        <v/>
      </c>
      <c r="Y50" s="102" t="s">
        <v>36</v>
      </c>
      <c r="Z50" s="103" t="str">
        <v/>
      </c>
      <c r="AA50" s="96" t="s">
        <v>38</v>
      </c>
      <c r="AB50" s="116" t="str">
        <v/>
      </c>
      <c r="AC50" s="102" t="s">
        <v>44</v>
      </c>
      <c r="AD50" s="103" t="str">
        <v/>
      </c>
      <c r="AE50" s="102" t="s">
        <v>37</v>
      </c>
      <c r="AF50" s="103" t="str">
        <v/>
      </c>
      <c r="AG50" s="102" t="s">
        <v>36</v>
      </c>
      <c r="AH50" s="103" t="str">
        <v/>
      </c>
      <c r="AI50" s="102" t="s">
        <v>30</v>
      </c>
      <c r="AJ50" s="103" t="str">
        <v/>
      </c>
      <c r="AK50" s="102" t="s">
        <v>48</v>
      </c>
      <c r="AL50" s="103" t="str">
        <v/>
      </c>
      <c r="AM50" s="102" t="s">
        <v>36</v>
      </c>
      <c r="AN50" s="103" t="str">
        <v/>
      </c>
      <c r="AO50" s="102" t="s">
        <v>36</v>
      </c>
      <c r="AP50" s="103" t="str">
        <v/>
      </c>
      <c r="AQ50" s="102" t="s">
        <v>44</v>
      </c>
      <c r="AR50" s="10" t="str">
        <v/>
      </c>
    </row>
    <row r="51" spans="1:44" ht="12.75" customHeight="1">
      <c r="A51" s="99" t="s">
        <v>70</v>
      </c>
      <c r="B51" s="95" t="s">
        <v>106</v>
      </c>
      <c r="C51" s="96"/>
      <c r="D51" s="83"/>
      <c r="E51" s="102" t="s">
        <v>44</v>
      </c>
      <c r="F51" s="103" t="str">
        <v/>
      </c>
      <c r="G51" s="102" t="s">
        <v>49</v>
      </c>
      <c r="H51" s="103" t="str">
        <v/>
      </c>
      <c r="I51" s="102" t="s">
        <v>36</v>
      </c>
      <c r="J51" s="103" t="str">
        <v/>
      </c>
      <c r="K51" s="102" t="s">
        <v>36</v>
      </c>
      <c r="L51" s="103" t="str">
        <v/>
      </c>
      <c r="M51" s="102" t="s">
        <v>39</v>
      </c>
      <c r="N51" s="103" t="str">
        <v/>
      </c>
      <c r="O51" s="96" t="s">
        <v>44</v>
      </c>
      <c r="P51" s="103" t="str">
        <v/>
      </c>
      <c r="Q51" s="102" t="s">
        <v>36</v>
      </c>
      <c r="R51" s="103" t="str">
        <v/>
      </c>
      <c r="S51" s="102" t="s">
        <v>44</v>
      </c>
      <c r="T51" s="103" t="str">
        <v/>
      </c>
      <c r="U51" s="102" t="s">
        <v>37</v>
      </c>
      <c r="V51" s="103" t="str">
        <v/>
      </c>
      <c r="W51" s="102" t="s">
        <v>36</v>
      </c>
      <c r="X51" s="103" t="str">
        <v/>
      </c>
      <c r="Y51" s="102" t="s">
        <v>36</v>
      </c>
      <c r="Z51" s="103" t="str">
        <v/>
      </c>
      <c r="AA51" s="96" t="s">
        <v>44</v>
      </c>
      <c r="AB51" s="116" t="str">
        <v/>
      </c>
      <c r="AC51" s="102" t="s">
        <v>48</v>
      </c>
      <c r="AD51" s="103" t="str">
        <v/>
      </c>
      <c r="AE51" s="102" t="s">
        <v>37</v>
      </c>
      <c r="AF51" s="103" t="str">
        <v/>
      </c>
      <c r="AG51" s="102" t="s">
        <v>37</v>
      </c>
      <c r="AH51" s="103" t="str">
        <v/>
      </c>
      <c r="AI51" s="102" t="s">
        <v>44</v>
      </c>
      <c r="AJ51" s="103" t="str">
        <v/>
      </c>
      <c r="AK51" s="102" t="s">
        <v>44</v>
      </c>
      <c r="AL51" s="103" t="str">
        <v/>
      </c>
      <c r="AM51" s="102" t="s">
        <v>36</v>
      </c>
      <c r="AN51" s="103" t="str">
        <v/>
      </c>
      <c r="AO51" s="102" t="s">
        <v>36</v>
      </c>
      <c r="AP51" s="103" t="str">
        <v/>
      </c>
      <c r="AQ51" s="102" t="s">
        <v>36</v>
      </c>
      <c r="AR51" s="10" t="str">
        <v/>
      </c>
    </row>
    <row r="52" spans="1:44" ht="12.75" customHeight="1">
      <c r="A52" s="99" t="s">
        <v>74</v>
      </c>
      <c r="B52" s="95" t="s">
        <v>107</v>
      </c>
      <c r="C52" s="96"/>
      <c r="D52" s="83"/>
      <c r="E52" s="102" t="s">
        <v>45</v>
      </c>
      <c r="F52" s="103" t="str">
        <v/>
      </c>
      <c r="G52" s="102" t="s">
        <v>37</v>
      </c>
      <c r="H52" s="103" t="str">
        <v/>
      </c>
      <c r="I52" s="102" t="s">
        <v>45</v>
      </c>
      <c r="J52" s="103" t="str">
        <v/>
      </c>
      <c r="K52" s="102" t="s">
        <v>48</v>
      </c>
      <c r="L52" s="103" t="str">
        <v/>
      </c>
      <c r="M52" s="102" t="s">
        <v>45</v>
      </c>
      <c r="N52" s="103" t="str">
        <v/>
      </c>
      <c r="O52" s="96" t="s">
        <v>32</v>
      </c>
      <c r="P52" s="103" t="str">
        <v/>
      </c>
      <c r="Q52" s="102" t="s">
        <v>45</v>
      </c>
      <c r="R52" s="103" t="str">
        <v/>
      </c>
      <c r="S52" s="102" t="s">
        <v>100</v>
      </c>
      <c r="T52" s="103" t="str">
        <v/>
      </c>
      <c r="U52" s="102" t="s">
        <v>44</v>
      </c>
      <c r="V52" s="103" t="str">
        <v/>
      </c>
      <c r="W52" s="102" t="s">
        <v>51</v>
      </c>
      <c r="X52" s="103" t="str">
        <v/>
      </c>
      <c r="Y52" s="102" t="s">
        <v>45</v>
      </c>
      <c r="Z52" s="103" t="str">
        <v/>
      </c>
      <c r="AA52" s="96" t="s">
        <v>39</v>
      </c>
      <c r="AB52" s="116" t="str">
        <v/>
      </c>
      <c r="AC52" s="102" t="s">
        <v>44</v>
      </c>
      <c r="AD52" s="103" t="str">
        <v/>
      </c>
      <c r="AE52" s="102" t="s">
        <v>44</v>
      </c>
      <c r="AF52" s="103" t="str">
        <v/>
      </c>
      <c r="AG52" s="102" t="s">
        <v>44</v>
      </c>
      <c r="AH52" s="103" t="str">
        <v/>
      </c>
      <c r="AI52" s="102" t="s">
        <v>37</v>
      </c>
      <c r="AJ52" s="103" t="str">
        <v/>
      </c>
      <c r="AK52" s="102" t="s">
        <v>51</v>
      </c>
      <c r="AL52" s="103" t="str">
        <v/>
      </c>
      <c r="AM52" s="102" t="s">
        <v>45</v>
      </c>
      <c r="AN52" s="103" t="str">
        <v/>
      </c>
      <c r="AO52" s="102" t="s">
        <v>45</v>
      </c>
      <c r="AP52" s="103" t="str">
        <v/>
      </c>
      <c r="AQ52" s="102" t="s">
        <v>44</v>
      </c>
      <c r="AR52" s="10" t="str">
        <v/>
      </c>
    </row>
    <row r="53" spans="1:44" ht="12.75" customHeight="1">
      <c r="A53" s="99" t="s">
        <v>74</v>
      </c>
      <c r="B53" s="95" t="s">
        <v>108</v>
      </c>
      <c r="C53" s="98"/>
      <c r="D53" s="83"/>
      <c r="E53" s="104" t="s">
        <v>38</v>
      </c>
      <c r="F53" s="103" t="str">
        <v/>
      </c>
      <c r="G53" s="104" t="s">
        <v>28</v>
      </c>
      <c r="H53" s="103" t="str">
        <v/>
      </c>
      <c r="I53" s="104" t="s">
        <v>39</v>
      </c>
      <c r="J53" s="103" t="str">
        <v/>
      </c>
      <c r="K53" s="104" t="s">
        <v>36</v>
      </c>
      <c r="L53" s="103" t="str">
        <v/>
      </c>
      <c r="M53" s="104" t="s">
        <v>39</v>
      </c>
      <c r="N53" s="103" t="str">
        <v/>
      </c>
      <c r="O53" s="98" t="s">
        <v>44</v>
      </c>
      <c r="P53" s="103" t="str">
        <v/>
      </c>
      <c r="Q53" s="104" t="s">
        <v>39</v>
      </c>
      <c r="R53" s="103" t="str">
        <v/>
      </c>
      <c r="S53" s="104" t="s">
        <v>31</v>
      </c>
      <c r="T53" s="103" t="str">
        <v/>
      </c>
      <c r="U53" s="104" t="s">
        <v>37</v>
      </c>
      <c r="V53" s="103" t="str">
        <v/>
      </c>
      <c r="W53" s="104" t="s">
        <v>39</v>
      </c>
      <c r="X53" s="103" t="str">
        <v/>
      </c>
      <c r="Y53" s="104" t="s">
        <v>36</v>
      </c>
      <c r="Z53" s="103" t="str">
        <v/>
      </c>
      <c r="AA53" s="98" t="s">
        <v>45</v>
      </c>
      <c r="AB53" s="116" t="str">
        <v/>
      </c>
      <c r="AC53" s="104" t="s">
        <v>39</v>
      </c>
      <c r="AD53" s="103" t="str">
        <v/>
      </c>
      <c r="AE53" s="104" t="s">
        <v>39</v>
      </c>
      <c r="AF53" s="103" t="str">
        <v/>
      </c>
      <c r="AG53" s="104" t="s">
        <v>38</v>
      </c>
      <c r="AH53" s="103" t="str">
        <v/>
      </c>
      <c r="AI53" s="104" t="s">
        <v>36</v>
      </c>
      <c r="AJ53" s="103" t="str">
        <v/>
      </c>
      <c r="AK53" s="104" t="s">
        <v>31</v>
      </c>
      <c r="AL53" s="103" t="str">
        <v/>
      </c>
      <c r="AM53" s="104" t="s">
        <v>31</v>
      </c>
      <c r="AN53" s="103" t="str">
        <v/>
      </c>
      <c r="AO53" s="104" t="s">
        <v>36</v>
      </c>
      <c r="AP53" s="103" t="str">
        <v/>
      </c>
      <c r="AQ53" s="104" t="s">
        <v>32</v>
      </c>
      <c r="AR53" s="10" t="str">
        <v/>
      </c>
    </row>
    <row r="54" spans="1:44" ht="12.75" customHeight="1">
      <c r="A54" s="76" t="s">
        <v>109</v>
      </c>
      <c r="B54" s="77"/>
      <c r="C54" s="77"/>
      <c r="D54" s="78"/>
      <c r="E54" s="106"/>
      <c r="F54" s="107" t="str">
        <f t="array" ref="F54:F60">IF(ISBLANK($C$6:$C$46), "", IF(EXACT($C$6:$C$46, E20:E60), 3, IF(SIGN(LEFT($C$6:$C$46, 1) - RIGHT($C$6:$C$46, 1)) = SIGN(LEFT(E20:E60, 1) - RIGHT(E20:E60, 1)), 1, 0)))</f>
        <v/>
      </c>
      <c r="G54" s="108"/>
      <c r="H54" s="109" t="str">
        <f t="array" ref="H54:H60">IF(ISBLANK($C$6:$C$46), "", IF(EXACT($C$6:$C$46, G20:G60), 3, IF(SIGN(LEFT($C$6:$C$46, 1) - RIGHT($C$6:$C$46, 1)) = SIGN(LEFT(G20:G60, 1) - RIGHT(G20:G60, 1)), 1, 0)))</f>
        <v/>
      </c>
      <c r="I54" s="108"/>
      <c r="J54" s="109" t="str">
        <f t="array" ref="J54:J60">IF(ISBLANK($C$6:$C$46), "", IF(EXACT($C$6:$C$46, I20:I60), 3, IF(SIGN(LEFT($C$6:$C$46, 1) - RIGHT($C$6:$C$46, 1)) = SIGN(LEFT(I20:I60, 1) - RIGHT(I20:I60, 1)), 1, 0)))</f>
        <v/>
      </c>
      <c r="K54" s="108"/>
      <c r="L54" s="109" t="str">
        <f t="array" ref="L54:L60">IF(ISBLANK($C$6:$C$46), "", IF(EXACT($C$6:$C$46, K20:K60), 3, IF(SIGN(LEFT($C$6:$C$46, 1) - RIGHT($C$6:$C$46, 1)) = SIGN(LEFT(K20:K60, 1) - RIGHT(K20:K60, 1)), 1, 0)))</f>
        <v/>
      </c>
      <c r="M54" s="108"/>
      <c r="N54" s="109" t="str">
        <f t="array" ref="N54:N60">IF(ISBLANK($C$6:$C$46), "", IF(EXACT($C$6:$C$46, M20:M60), 3, IF(SIGN(LEFT($C$6:$C$46, 1) - RIGHT($C$6:$C$46, 1)) = SIGN(LEFT(M20:M60, 1) - RIGHT(M20:M60, 1)), 1, 0)))</f>
        <v/>
      </c>
      <c r="O54" s="111"/>
      <c r="P54" s="109" t="str">
        <f t="array" ref="P54:P60">IF(ISBLANK($C$6:$C$46), "", IF(EXACT($C$6:$C$46, O20:O60), 3, IF(SIGN(LEFT($C$6:$C$46, 1) - RIGHT($C$6:$C$46, 1)) = SIGN(LEFT(O20:O60, 1) - RIGHT(O20:O60, 1)), 1, 0)))</f>
        <v/>
      </c>
      <c r="Q54" s="108"/>
      <c r="R54" s="109" t="str">
        <f t="array" ref="R54:R60">IF(ISBLANK($C$6:$C$46), "", IF(EXACT($C$6:$C$46, Q20:Q60), 3, IF(SIGN(LEFT($C$6:$C$46, 1) - RIGHT($C$6:$C$46, 1)) = SIGN(LEFT(Q20:Q60, 1) - RIGHT(Q20:Q60, 1)), 1, 0)))</f>
        <v/>
      </c>
      <c r="S54" s="108"/>
      <c r="T54" s="109" t="str">
        <f t="array" ref="T54:T60">IF(ISBLANK($C$6:$C$46), "", IF(EXACT($C$6:$C$46, S20:S60), 3, IF(SIGN(LEFT($C$6:$C$46, 1) - RIGHT($C$6:$C$46, 1)) = SIGN(LEFT(S20:S60, 1) - RIGHT(S20:S60, 1)), 1, 0)))</f>
        <v/>
      </c>
      <c r="U54" s="108"/>
      <c r="V54" s="109" t="str">
        <f t="array" ref="V54:V60">IF(ISBLANK($C$6:$C$46), "", IF(EXACT($C$6:$C$46, U20:U60), 3, IF(SIGN(LEFT($C$6:$C$46, 1) - RIGHT($C$6:$C$46, 1)) = SIGN(LEFT(U20:U60, 1) - RIGHT(U20:U60, 1)), 1, 0)))</f>
        <v/>
      </c>
      <c r="W54" s="108"/>
      <c r="X54" s="109" t="str">
        <f t="array" ref="X54:X60">IF(ISBLANK($C$6:$C$46), "", IF(EXACT($C$6:$C$46, W20:W60), 3, IF(SIGN(LEFT($C$6:$C$46, 1) - RIGHT($C$6:$C$46, 1)) = SIGN(LEFT(W20:W60, 1) - RIGHT(W20:W60, 1)), 1, 0)))</f>
        <v/>
      </c>
      <c r="Y54" s="108"/>
      <c r="Z54" s="109" t="str">
        <f t="array" ref="Z54:Z60">IF(ISBLANK($C$6:$C$46), "", IF(EXACT($C$6:$C$46, Y20:Y60), 3, IF(SIGN(LEFT($C$6:$C$46, 1) - RIGHT($C$6:$C$46, 1)) = SIGN(LEFT(Y20:Y60, 1) - RIGHT(Y20:Y60, 1)), 1, 0)))</f>
        <v/>
      </c>
      <c r="AA54" s="111"/>
      <c r="AB54" s="118" t="str">
        <f t="array" ref="AB54:AB60">IF(ISBLANK($C$6:$C$46), "", IF(EXACT($C$6:$C$46, AA20:AA60), 3, IF(SIGN(LEFT($C$6:$C$46, 1) - RIGHT($C$6:$C$46, 1)) = SIGN(LEFT(AA20:AA60, 1) - RIGHT(AA20:AA60, 1)), 1, 0)))</f>
        <v/>
      </c>
      <c r="AC54" s="108"/>
      <c r="AD54" s="109" t="str">
        <f t="array" ref="AD54:AD60">IF(ISBLANK($C$6:$C$46), "", IF(EXACT($C$6:$C$46, AC20:AC60), 3, IF(SIGN(LEFT($C$6:$C$46, 1) - RIGHT($C$6:$C$46, 1)) = SIGN(LEFT(AC20:AC60, 1) - RIGHT(AC20:AC60, 1)), 1, 0)))</f>
        <v/>
      </c>
      <c r="AE54" s="108"/>
      <c r="AF54" s="109" t="str">
        <f t="array" ref="AF54:AF60">IF(ISBLANK($C$6:$C$46), "", IF(EXACT($C$6:$C$46, AE20:AE60), 3, IF(SIGN(LEFT($C$6:$C$46, 1) - RIGHT($C$6:$C$46, 1)) = SIGN(LEFT(AE20:AE60, 1) - RIGHT(AE20:AE60, 1)), 1, 0)))</f>
        <v/>
      </c>
      <c r="AG54" s="108"/>
      <c r="AH54" s="109" t="str">
        <f t="array" ref="AH54:AH60">IF(ISBLANK($C$6:$C$46), "", IF(EXACT($C$6:$C$46, AG20:AG60), 3, IF(SIGN(LEFT($C$6:$C$46, 1) - RIGHT($C$6:$C$46, 1)) = SIGN(LEFT(AG20:AG60, 1) - RIGHT(AG20:AG60, 1)), 1, 0)))</f>
        <v/>
      </c>
      <c r="AI54" s="108"/>
      <c r="AJ54" s="109" t="str">
        <f t="array" ref="AJ54:AJ60">IF(ISBLANK($C$6:$C$46), "", IF(EXACT($C$6:$C$46, AI20:AI60), 3, IF(SIGN(LEFT($C$6:$C$46, 1) - RIGHT($C$6:$C$46, 1)) = SIGN(LEFT(AI20:AI60, 1) - RIGHT(AI20:AI60, 1)), 1, 0)))</f>
        <v/>
      </c>
      <c r="AK54" s="108"/>
      <c r="AL54" s="109" t="str">
        <f t="array" ref="AL54:AL60">IF(ISBLANK($C$6:$C$46), "", IF(EXACT($C$6:$C$46, AK20:AK60), 3, IF(SIGN(LEFT($C$6:$C$46, 1) - RIGHT($C$6:$C$46, 1)) = SIGN(LEFT(AK20:AK60, 1) - RIGHT(AK20:AK60, 1)), 1, 0)))</f>
        <v/>
      </c>
      <c r="AM54" s="108"/>
      <c r="AN54" s="109" t="str">
        <f t="array" ref="AN54:AN60">IF(ISBLANK($C$6:$C$46), "", IF(EXACT($C$6:$C$46, AM20:AM60), 3, IF(SIGN(LEFT($C$6:$C$46, 1) - RIGHT($C$6:$C$46, 1)) = SIGN(LEFT(AM20:AM60, 1) - RIGHT(AM20:AM60, 1)), 1, 0)))</f>
        <v/>
      </c>
      <c r="AO54" s="108"/>
      <c r="AP54" s="109" t="str">
        <f t="array" ref="AP54:AP60">IF(ISBLANK($C$6:$C$46), "", IF(EXACT($C$6:$C$46, AO20:AO60), 3, IF(SIGN(LEFT($C$6:$C$46, 1) - RIGHT($C$6:$C$46, 1)) = SIGN(LEFT(AO20:AO60, 1) - RIGHT(AO20:AO60, 1)), 1, 0)))</f>
        <v/>
      </c>
      <c r="AQ54" s="108"/>
      <c r="AR54" s="81" t="str">
        <f t="array" ref="AR54:AR60">IF(ISBLANK($C$6:$C$46), "", IF(EXACT($C$6:$C$46, AQ20:AQ60), 3, IF(SIGN(LEFT($C$6:$C$46, 1) - RIGHT($C$6:$C$46, 1)) = SIGN(LEFT(AQ20:AQ60, 1) - RIGHT(AQ20:AQ60, 1)), 1, 0)))</f>
        <v/>
      </c>
    </row>
    <row r="55" spans="1:44" ht="12.75" customHeight="1">
      <c r="A55" s="99" t="s">
        <v>110</v>
      </c>
      <c r="B55" s="95" t="s">
        <v>111</v>
      </c>
      <c r="C55" s="96"/>
      <c r="D55" s="83"/>
      <c r="E55" s="102" t="s">
        <v>28</v>
      </c>
      <c r="F55" s="103" t="str">
        <v/>
      </c>
      <c r="G55" s="102" t="s">
        <v>39</v>
      </c>
      <c r="H55" s="103" t="str">
        <v/>
      </c>
      <c r="I55" s="102" t="s">
        <v>38</v>
      </c>
      <c r="J55" s="103" t="str">
        <v/>
      </c>
      <c r="K55" s="102" t="s">
        <v>33</v>
      </c>
      <c r="L55" s="103" t="str">
        <v/>
      </c>
      <c r="M55" s="102" t="s">
        <v>29</v>
      </c>
      <c r="N55" s="103" t="str">
        <v/>
      </c>
      <c r="O55" s="96" t="s">
        <v>28</v>
      </c>
      <c r="P55" s="103" t="str">
        <v/>
      </c>
      <c r="Q55" s="102" t="s">
        <v>28</v>
      </c>
      <c r="R55" s="103" t="str">
        <v/>
      </c>
      <c r="S55" s="102" t="s">
        <v>39</v>
      </c>
      <c r="T55" s="103" t="str">
        <v/>
      </c>
      <c r="U55" s="102" t="s">
        <v>28</v>
      </c>
      <c r="V55" s="103" t="str">
        <v/>
      </c>
      <c r="W55" s="102" t="s">
        <v>28</v>
      </c>
      <c r="X55" s="103" t="str">
        <v/>
      </c>
      <c r="Y55" s="102" t="s">
        <v>39</v>
      </c>
      <c r="Z55" s="103" t="str">
        <v/>
      </c>
      <c r="AA55" s="96" t="s">
        <v>29</v>
      </c>
      <c r="AB55" s="116" t="str">
        <v/>
      </c>
      <c r="AC55" s="102" t="s">
        <v>28</v>
      </c>
      <c r="AD55" s="103" t="str">
        <v/>
      </c>
      <c r="AE55" s="102" t="s">
        <v>32</v>
      </c>
      <c r="AF55" s="103" t="str">
        <v/>
      </c>
      <c r="AG55" s="102" t="s">
        <v>37</v>
      </c>
      <c r="AH55" s="103" t="str">
        <v/>
      </c>
      <c r="AI55" s="102" t="s">
        <v>38</v>
      </c>
      <c r="AJ55" s="103" t="str">
        <v/>
      </c>
      <c r="AK55" s="102" t="s">
        <v>38</v>
      </c>
      <c r="AL55" s="103" t="str">
        <v/>
      </c>
      <c r="AM55" s="102" t="s">
        <v>38</v>
      </c>
      <c r="AN55" s="103" t="str">
        <v/>
      </c>
      <c r="AO55" s="102" t="s">
        <v>28</v>
      </c>
      <c r="AP55" s="103" t="str">
        <v/>
      </c>
      <c r="AQ55" s="102" t="s">
        <v>28</v>
      </c>
      <c r="AR55" s="10" t="str">
        <v/>
      </c>
    </row>
    <row r="56" spans="1:44" ht="12.75" customHeight="1">
      <c r="A56" s="99" t="s">
        <v>112</v>
      </c>
      <c r="B56" s="95" t="s">
        <v>113</v>
      </c>
      <c r="C56" s="96"/>
      <c r="D56" s="83"/>
      <c r="E56" s="102" t="s">
        <v>39</v>
      </c>
      <c r="F56" s="103" t="str">
        <v/>
      </c>
      <c r="G56" s="102" t="s">
        <v>38</v>
      </c>
      <c r="H56" s="103" t="str">
        <v/>
      </c>
      <c r="I56" s="102" t="s">
        <v>39</v>
      </c>
      <c r="J56" s="103" t="str">
        <v/>
      </c>
      <c r="K56" s="102" t="s">
        <v>38</v>
      </c>
      <c r="L56" s="103" t="str">
        <v/>
      </c>
      <c r="M56" s="102" t="s">
        <v>39</v>
      </c>
      <c r="N56" s="103" t="str">
        <v/>
      </c>
      <c r="O56" s="96" t="s">
        <v>44</v>
      </c>
      <c r="P56" s="103" t="str">
        <v/>
      </c>
      <c r="Q56" s="102" t="s">
        <v>28</v>
      </c>
      <c r="R56" s="103" t="str">
        <v/>
      </c>
      <c r="S56" s="102" t="s">
        <v>33</v>
      </c>
      <c r="T56" s="103" t="str">
        <v/>
      </c>
      <c r="U56" s="102" t="s">
        <v>32</v>
      </c>
      <c r="V56" s="103" t="str">
        <v/>
      </c>
      <c r="W56" s="102" t="s">
        <v>38</v>
      </c>
      <c r="X56" s="103" t="str">
        <v/>
      </c>
      <c r="Y56" s="102" t="s">
        <v>33</v>
      </c>
      <c r="Z56" s="103" t="str">
        <v/>
      </c>
      <c r="AA56" s="96" t="s">
        <v>44</v>
      </c>
      <c r="AB56" s="116" t="str">
        <v/>
      </c>
      <c r="AC56" s="102" t="s">
        <v>38</v>
      </c>
      <c r="AD56" s="103" t="str">
        <v/>
      </c>
      <c r="AE56" s="102" t="s">
        <v>32</v>
      </c>
      <c r="AF56" s="103" t="str">
        <v/>
      </c>
      <c r="AG56" s="102" t="s">
        <v>29</v>
      </c>
      <c r="AH56" s="103" t="str">
        <v/>
      </c>
      <c r="AI56" s="102" t="s">
        <v>33</v>
      </c>
      <c r="AJ56" s="103" t="str">
        <v/>
      </c>
      <c r="AK56" s="102" t="s">
        <v>32</v>
      </c>
      <c r="AL56" s="103" t="str">
        <v/>
      </c>
      <c r="AM56" s="102" t="s">
        <v>33</v>
      </c>
      <c r="AN56" s="103" t="str">
        <v/>
      </c>
      <c r="AO56" s="102" t="s">
        <v>33</v>
      </c>
      <c r="AP56" s="103" t="str">
        <v/>
      </c>
      <c r="AQ56" s="102" t="s">
        <v>28</v>
      </c>
      <c r="AR56" s="10" t="str">
        <v/>
      </c>
    </row>
    <row r="57" spans="1:44" ht="12.75" customHeight="1">
      <c r="A57" s="99" t="s">
        <v>114</v>
      </c>
      <c r="B57" s="95" t="s">
        <v>115</v>
      </c>
      <c r="C57" s="96"/>
      <c r="D57" s="83"/>
      <c r="E57" s="102" t="s">
        <v>36</v>
      </c>
      <c r="F57" s="103" t="str">
        <v/>
      </c>
      <c r="G57" s="102" t="s">
        <v>37</v>
      </c>
      <c r="H57" s="103" t="str">
        <v/>
      </c>
      <c r="I57" s="102" t="s">
        <v>48</v>
      </c>
      <c r="J57" s="103" t="str">
        <v/>
      </c>
      <c r="K57" s="102" t="s">
        <v>37</v>
      </c>
      <c r="L57" s="103" t="str">
        <v/>
      </c>
      <c r="M57" s="102" t="s">
        <v>37</v>
      </c>
      <c r="N57" s="103" t="str">
        <v/>
      </c>
      <c r="O57" s="96" t="s">
        <v>28</v>
      </c>
      <c r="P57" s="103" t="str">
        <v/>
      </c>
      <c r="Q57" s="102" t="s">
        <v>48</v>
      </c>
      <c r="R57" s="103" t="str">
        <v/>
      </c>
      <c r="S57" s="102" t="s">
        <v>37</v>
      </c>
      <c r="T57" s="103" t="str">
        <v/>
      </c>
      <c r="U57" s="102" t="s">
        <v>37</v>
      </c>
      <c r="V57" s="103" t="str">
        <v/>
      </c>
      <c r="W57" s="102" t="s">
        <v>36</v>
      </c>
      <c r="X57" s="103" t="str">
        <v/>
      </c>
      <c r="Y57" s="102" t="s">
        <v>36</v>
      </c>
      <c r="Z57" s="103" t="str">
        <v/>
      </c>
      <c r="AA57" s="96" t="s">
        <v>29</v>
      </c>
      <c r="AB57" s="116" t="str">
        <v/>
      </c>
      <c r="AC57" s="102" t="s">
        <v>44</v>
      </c>
      <c r="AD57" s="103" t="str">
        <v/>
      </c>
      <c r="AE57" s="102" t="s">
        <v>37</v>
      </c>
      <c r="AF57" s="103" t="str">
        <v/>
      </c>
      <c r="AG57" s="102" t="s">
        <v>36</v>
      </c>
      <c r="AH57" s="103" t="str">
        <v/>
      </c>
      <c r="AI57" s="102" t="s">
        <v>30</v>
      </c>
      <c r="AJ57" s="103" t="str">
        <v/>
      </c>
      <c r="AK57" s="102" t="s">
        <v>48</v>
      </c>
      <c r="AL57" s="103" t="str">
        <v/>
      </c>
      <c r="AM57" s="102" t="s">
        <v>36</v>
      </c>
      <c r="AN57" s="103" t="str">
        <v/>
      </c>
      <c r="AO57" s="102" t="s">
        <v>36</v>
      </c>
      <c r="AP57" s="103" t="str">
        <v/>
      </c>
      <c r="AQ57" s="102" t="s">
        <v>44</v>
      </c>
      <c r="AR57" s="10" t="str">
        <v/>
      </c>
    </row>
    <row r="58" spans="1:44" ht="12.75" customHeight="1">
      <c r="A58" s="99" t="s">
        <v>114</v>
      </c>
      <c r="B58" s="95" t="s">
        <v>116</v>
      </c>
      <c r="C58" s="96"/>
      <c r="D58" s="83"/>
      <c r="E58" s="102" t="s">
        <v>44</v>
      </c>
      <c r="F58" s="103" t="str">
        <v/>
      </c>
      <c r="G58" s="102" t="s">
        <v>49</v>
      </c>
      <c r="H58" s="103" t="str">
        <v/>
      </c>
      <c r="I58" s="102" t="s">
        <v>36</v>
      </c>
      <c r="J58" s="103" t="str">
        <v/>
      </c>
      <c r="K58" s="102" t="s">
        <v>36</v>
      </c>
      <c r="L58" s="103" t="str">
        <v/>
      </c>
      <c r="M58" s="102" t="s">
        <v>39</v>
      </c>
      <c r="N58" s="103" t="str">
        <v/>
      </c>
      <c r="O58" s="96" t="s">
        <v>28</v>
      </c>
      <c r="P58" s="103" t="str">
        <v/>
      </c>
      <c r="Q58" s="102" t="s">
        <v>36</v>
      </c>
      <c r="R58" s="103" t="str">
        <v/>
      </c>
      <c r="S58" s="102" t="s">
        <v>44</v>
      </c>
      <c r="T58" s="103" t="str">
        <v/>
      </c>
      <c r="U58" s="102" t="s">
        <v>37</v>
      </c>
      <c r="V58" s="103" t="str">
        <v/>
      </c>
      <c r="W58" s="102" t="s">
        <v>36</v>
      </c>
      <c r="X58" s="103" t="str">
        <v/>
      </c>
      <c r="Y58" s="102" t="s">
        <v>36</v>
      </c>
      <c r="Z58" s="103" t="str">
        <v/>
      </c>
      <c r="AA58" s="96" t="s">
        <v>28</v>
      </c>
      <c r="AB58" s="116" t="str">
        <v/>
      </c>
      <c r="AC58" s="102" t="s">
        <v>48</v>
      </c>
      <c r="AD58" s="103" t="str">
        <v/>
      </c>
      <c r="AE58" s="102" t="s">
        <v>37</v>
      </c>
      <c r="AF58" s="103" t="str">
        <v/>
      </c>
      <c r="AG58" s="102" t="s">
        <v>37</v>
      </c>
      <c r="AH58" s="103" t="str">
        <v/>
      </c>
      <c r="AI58" s="102" t="s">
        <v>44</v>
      </c>
      <c r="AJ58" s="103" t="str">
        <v/>
      </c>
      <c r="AK58" s="102" t="s">
        <v>44</v>
      </c>
      <c r="AL58" s="103" t="str">
        <v/>
      </c>
      <c r="AM58" s="102" t="s">
        <v>36</v>
      </c>
      <c r="AN58" s="103" t="str">
        <v/>
      </c>
      <c r="AO58" s="102" t="s">
        <v>36</v>
      </c>
      <c r="AP58" s="103" t="str">
        <v/>
      </c>
      <c r="AQ58" s="102" t="s">
        <v>36</v>
      </c>
      <c r="AR58" s="10" t="str">
        <v/>
      </c>
    </row>
    <row r="59" spans="1:44" ht="12.75" customHeight="1">
      <c r="A59" s="99" t="s">
        <v>117</v>
      </c>
      <c r="B59" s="95" t="s">
        <v>118</v>
      </c>
      <c r="C59" s="96"/>
      <c r="D59" s="83"/>
      <c r="E59" s="102" t="s">
        <v>45</v>
      </c>
      <c r="F59" s="103" t="str">
        <v/>
      </c>
      <c r="G59" s="102" t="s">
        <v>37</v>
      </c>
      <c r="H59" s="103" t="str">
        <v/>
      </c>
      <c r="I59" s="102" t="s">
        <v>45</v>
      </c>
      <c r="J59" s="103" t="str">
        <v/>
      </c>
      <c r="K59" s="102" t="s">
        <v>48</v>
      </c>
      <c r="L59" s="103" t="str">
        <v/>
      </c>
      <c r="M59" s="102" t="s">
        <v>45</v>
      </c>
      <c r="N59" s="103" t="str">
        <v/>
      </c>
      <c r="O59" s="96" t="s">
        <v>44</v>
      </c>
      <c r="P59" s="103" t="str">
        <v/>
      </c>
      <c r="Q59" s="102" t="s">
        <v>45</v>
      </c>
      <c r="R59" s="103" t="str">
        <v/>
      </c>
      <c r="S59" s="102" t="s">
        <v>100</v>
      </c>
      <c r="T59" s="103" t="str">
        <v/>
      </c>
      <c r="U59" s="102" t="s">
        <v>44</v>
      </c>
      <c r="V59" s="103" t="str">
        <v/>
      </c>
      <c r="W59" s="102" t="s">
        <v>51</v>
      </c>
      <c r="X59" s="103" t="str">
        <v/>
      </c>
      <c r="Y59" s="102" t="s">
        <v>45</v>
      </c>
      <c r="Z59" s="103" t="str">
        <v/>
      </c>
      <c r="AA59" s="96" t="s">
        <v>36</v>
      </c>
      <c r="AB59" s="116" t="str">
        <v/>
      </c>
      <c r="AC59" s="102" t="s">
        <v>44</v>
      </c>
      <c r="AD59" s="103" t="str">
        <v/>
      </c>
      <c r="AE59" s="102" t="s">
        <v>44</v>
      </c>
      <c r="AF59" s="103" t="str">
        <v/>
      </c>
      <c r="AG59" s="102" t="s">
        <v>44</v>
      </c>
      <c r="AH59" s="103" t="str">
        <v/>
      </c>
      <c r="AI59" s="102" t="s">
        <v>37</v>
      </c>
      <c r="AJ59" s="103" t="str">
        <v/>
      </c>
      <c r="AK59" s="102" t="s">
        <v>51</v>
      </c>
      <c r="AL59" s="103" t="str">
        <v/>
      </c>
      <c r="AM59" s="102" t="s">
        <v>45</v>
      </c>
      <c r="AN59" s="103" t="str">
        <v/>
      </c>
      <c r="AO59" s="102" t="s">
        <v>45</v>
      </c>
      <c r="AP59" s="103" t="str">
        <v/>
      </c>
      <c r="AQ59" s="102" t="s">
        <v>44</v>
      </c>
      <c r="AR59" s="10" t="str">
        <v/>
      </c>
    </row>
    <row r="60" spans="1:44" ht="12.75" customHeight="1">
      <c r="A60" s="99" t="s">
        <v>117</v>
      </c>
      <c r="B60" s="95" t="s">
        <v>119</v>
      </c>
      <c r="C60" s="98"/>
      <c r="D60" s="83"/>
      <c r="E60" s="104" t="s">
        <v>38</v>
      </c>
      <c r="F60" s="103" t="str">
        <v/>
      </c>
      <c r="G60" s="104" t="s">
        <v>28</v>
      </c>
      <c r="H60" s="103" t="str">
        <v/>
      </c>
      <c r="I60" s="104" t="s">
        <v>39</v>
      </c>
      <c r="J60" s="103" t="str">
        <v/>
      </c>
      <c r="K60" s="104" t="s">
        <v>36</v>
      </c>
      <c r="L60" s="103" t="str">
        <v/>
      </c>
      <c r="M60" s="104" t="s">
        <v>39</v>
      </c>
      <c r="N60" s="103" t="str">
        <v/>
      </c>
      <c r="O60" s="98" t="s">
        <v>44</v>
      </c>
      <c r="P60" s="103" t="str">
        <v/>
      </c>
      <c r="Q60" s="104" t="s">
        <v>39</v>
      </c>
      <c r="R60" s="103" t="str">
        <v/>
      </c>
      <c r="S60" s="104" t="s">
        <v>31</v>
      </c>
      <c r="T60" s="103" t="str">
        <v/>
      </c>
      <c r="U60" s="104" t="s">
        <v>37</v>
      </c>
      <c r="V60" s="103" t="str">
        <v/>
      </c>
      <c r="W60" s="104" t="s">
        <v>39</v>
      </c>
      <c r="X60" s="103" t="str">
        <v/>
      </c>
      <c r="Y60" s="104" t="s">
        <v>36</v>
      </c>
      <c r="Z60" s="103" t="str">
        <v/>
      </c>
      <c r="AA60" s="98" t="s">
        <v>36</v>
      </c>
      <c r="AB60" s="116" t="str">
        <v/>
      </c>
      <c r="AC60" s="104" t="s">
        <v>39</v>
      </c>
      <c r="AD60" s="103" t="str">
        <v/>
      </c>
      <c r="AE60" s="104" t="s">
        <v>39</v>
      </c>
      <c r="AF60" s="103" t="str">
        <v/>
      </c>
      <c r="AG60" s="104" t="s">
        <v>38</v>
      </c>
      <c r="AH60" s="103" t="str">
        <v/>
      </c>
      <c r="AI60" s="104" t="s">
        <v>36</v>
      </c>
      <c r="AJ60" s="103" t="str">
        <v/>
      </c>
      <c r="AK60" s="104" t="s">
        <v>31</v>
      </c>
      <c r="AL60" s="103" t="str">
        <v/>
      </c>
      <c r="AM60" s="104" t="s">
        <v>31</v>
      </c>
      <c r="AN60" s="103" t="str">
        <v/>
      </c>
      <c r="AO60" s="104" t="s">
        <v>36</v>
      </c>
      <c r="AP60" s="103" t="str">
        <v/>
      </c>
      <c r="AQ60" s="104" t="s">
        <v>32</v>
      </c>
      <c r="AR60" s="10" t="str">
        <v/>
      </c>
    </row>
    <row r="61" spans="1:44" ht="12.75" customHeight="1">
      <c r="A61" s="76" t="s">
        <v>120</v>
      </c>
      <c r="B61" s="77"/>
      <c r="C61" s="77"/>
      <c r="D61" s="78"/>
      <c r="E61" s="106"/>
      <c r="F61" s="107" t="str">
        <f t="array" ref="F61:F67">IF(ISBLANK($C$6:$C$46), "", IF(EXACT($C$6:$C$46, E27:E67), 3, IF(SIGN(LEFT($C$6:$C$46, 1) - RIGHT($C$6:$C$46, 1)) = SIGN(LEFT(E27:E67, 1) - RIGHT(E27:E67, 1)), 1, 0)))</f>
        <v/>
      </c>
      <c r="G61" s="108"/>
      <c r="H61" s="109" t="str">
        <f t="array" ref="H61:H67">IF(ISBLANK($C$6:$C$46), "", IF(EXACT($C$6:$C$46, G27:G67), 3, IF(SIGN(LEFT($C$6:$C$46, 1) - RIGHT($C$6:$C$46, 1)) = SIGN(LEFT(G27:G67, 1) - RIGHT(G27:G67, 1)), 1, 0)))</f>
        <v/>
      </c>
      <c r="I61" s="108"/>
      <c r="J61" s="109" t="str">
        <f t="array" ref="J61:J67">IF(ISBLANK($C$6:$C$46), "", IF(EXACT($C$6:$C$46, I27:I67), 3, IF(SIGN(LEFT($C$6:$C$46, 1) - RIGHT($C$6:$C$46, 1)) = SIGN(LEFT(I27:I67, 1) - RIGHT(I27:I67, 1)), 1, 0)))</f>
        <v/>
      </c>
      <c r="K61" s="108"/>
      <c r="L61" s="109" t="str">
        <f t="array" ref="L61:L67">IF(ISBLANK($C$6:$C$46), "", IF(EXACT($C$6:$C$46, K27:K67), 3, IF(SIGN(LEFT($C$6:$C$46, 1) - RIGHT($C$6:$C$46, 1)) = SIGN(LEFT(K27:K67, 1) - RIGHT(K27:K67, 1)), 1, 0)))</f>
        <v/>
      </c>
      <c r="M61" s="108"/>
      <c r="N61" s="109" t="str">
        <f t="array" ref="N61:N67">IF(ISBLANK($C$6:$C$46), "", IF(EXACT($C$6:$C$46, M27:M67), 3, IF(SIGN(LEFT($C$6:$C$46, 1) - RIGHT($C$6:$C$46, 1)) = SIGN(LEFT(M27:M67, 1) - RIGHT(M27:M67, 1)), 1, 0)))</f>
        <v/>
      </c>
      <c r="O61" s="111"/>
      <c r="P61" s="109" t="str">
        <f t="array" ref="P61:P67">IF(ISBLANK($C$6:$C$46), "", IF(EXACT($C$6:$C$46, O27:O67), 3, IF(SIGN(LEFT($C$6:$C$46, 1) - RIGHT($C$6:$C$46, 1)) = SIGN(LEFT(O27:O67, 1) - RIGHT(O27:O67, 1)), 1, 0)))</f>
        <v/>
      </c>
      <c r="Q61" s="108"/>
      <c r="R61" s="109" t="str">
        <f t="array" ref="R61:R67">IF(ISBLANK($C$6:$C$46), "", IF(EXACT($C$6:$C$46, Q27:Q67), 3, IF(SIGN(LEFT($C$6:$C$46, 1) - RIGHT($C$6:$C$46, 1)) = SIGN(LEFT(Q27:Q67, 1) - RIGHT(Q27:Q67, 1)), 1, 0)))</f>
        <v/>
      </c>
      <c r="S61" s="108"/>
      <c r="T61" s="109" t="str">
        <f t="array" ref="T61:T67">IF(ISBLANK($C$6:$C$46), "", IF(EXACT($C$6:$C$46, S27:S67), 3, IF(SIGN(LEFT($C$6:$C$46, 1) - RIGHT($C$6:$C$46, 1)) = SIGN(LEFT(S27:S67, 1) - RIGHT(S27:S67, 1)), 1, 0)))</f>
        <v/>
      </c>
      <c r="U61" s="108"/>
      <c r="V61" s="109" t="str">
        <f t="array" ref="V61:V67">IF(ISBLANK($C$6:$C$46), "", IF(EXACT($C$6:$C$46, U27:U67), 3, IF(SIGN(LEFT($C$6:$C$46, 1) - RIGHT($C$6:$C$46, 1)) = SIGN(LEFT(U27:U67, 1) - RIGHT(U27:U67, 1)), 1, 0)))</f>
        <v/>
      </c>
      <c r="W61" s="108"/>
      <c r="X61" s="109" t="str">
        <f t="array" ref="X61:X67">IF(ISBLANK($C$6:$C$46), "", IF(EXACT($C$6:$C$46, W27:W67), 3, IF(SIGN(LEFT($C$6:$C$46, 1) - RIGHT($C$6:$C$46, 1)) = SIGN(LEFT(W27:W67, 1) - RIGHT(W27:W67, 1)), 1, 0)))</f>
        <v/>
      </c>
      <c r="Y61" s="108"/>
      <c r="Z61" s="109" t="str">
        <f t="array" ref="Z61:Z67">IF(ISBLANK($C$6:$C$46), "", IF(EXACT($C$6:$C$46, Y27:Y67), 3, IF(SIGN(LEFT($C$6:$C$46, 1) - RIGHT($C$6:$C$46, 1)) = SIGN(LEFT(Y27:Y67, 1) - RIGHT(Y27:Y67, 1)), 1, 0)))</f>
        <v/>
      </c>
      <c r="AA61" s="111"/>
      <c r="AB61" s="118" t="str">
        <f t="array" ref="AB61:AB67">IF(ISBLANK($C$6:$C$46), "", IF(EXACT($C$6:$C$46, AA27:AA67), 3, IF(SIGN(LEFT($C$6:$C$46, 1) - RIGHT($C$6:$C$46, 1)) = SIGN(LEFT(AA27:AA67, 1) - RIGHT(AA27:AA67, 1)), 1, 0)))</f>
        <v/>
      </c>
      <c r="AC61" s="108"/>
      <c r="AD61" s="109" t="str">
        <f t="array" ref="AD61:AD67">IF(ISBLANK($C$6:$C$46), "", IF(EXACT($C$6:$C$46, AC27:AC67), 3, IF(SIGN(LEFT($C$6:$C$46, 1) - RIGHT($C$6:$C$46, 1)) = SIGN(LEFT(AC27:AC67, 1) - RIGHT(AC27:AC67, 1)), 1, 0)))</f>
        <v/>
      </c>
      <c r="AE61" s="108"/>
      <c r="AF61" s="109" t="str">
        <f t="array" ref="AF61:AF67">IF(ISBLANK($C$6:$C$46), "", IF(EXACT($C$6:$C$46, AE27:AE67), 3, IF(SIGN(LEFT($C$6:$C$46, 1) - RIGHT($C$6:$C$46, 1)) = SIGN(LEFT(AE27:AE67, 1) - RIGHT(AE27:AE67, 1)), 1, 0)))</f>
        <v/>
      </c>
      <c r="AG61" s="108"/>
      <c r="AH61" s="109" t="str">
        <f t="array" ref="AH61:AH67">IF(ISBLANK($C$6:$C$46), "", IF(EXACT($C$6:$C$46, AG27:AG67), 3, IF(SIGN(LEFT($C$6:$C$46, 1) - RIGHT($C$6:$C$46, 1)) = SIGN(LEFT(AG27:AG67, 1) - RIGHT(AG27:AG67, 1)), 1, 0)))</f>
        <v/>
      </c>
      <c r="AI61" s="108"/>
      <c r="AJ61" s="109" t="str">
        <f t="array" ref="AJ61:AJ67">IF(ISBLANK($C$6:$C$46), "", IF(EXACT($C$6:$C$46, AI27:AI67), 3, IF(SIGN(LEFT($C$6:$C$46, 1) - RIGHT($C$6:$C$46, 1)) = SIGN(LEFT(AI27:AI67, 1) - RIGHT(AI27:AI67, 1)), 1, 0)))</f>
        <v/>
      </c>
      <c r="AK61" s="108"/>
      <c r="AL61" s="109" t="str">
        <f t="array" ref="AL61:AL67">IF(ISBLANK($C$6:$C$46), "", IF(EXACT($C$6:$C$46, AK27:AK67), 3, IF(SIGN(LEFT($C$6:$C$46, 1) - RIGHT($C$6:$C$46, 1)) = SIGN(LEFT(AK27:AK67, 1) - RIGHT(AK27:AK67, 1)), 1, 0)))</f>
        <v/>
      </c>
      <c r="AM61" s="108"/>
      <c r="AN61" s="109" t="str">
        <f t="array" ref="AN61:AN67">IF(ISBLANK($C$6:$C$46), "", IF(EXACT($C$6:$C$46, AM27:AM67), 3, IF(SIGN(LEFT($C$6:$C$46, 1) - RIGHT($C$6:$C$46, 1)) = SIGN(LEFT(AM27:AM67, 1) - RIGHT(AM27:AM67, 1)), 1, 0)))</f>
        <v/>
      </c>
      <c r="AO61" s="108"/>
      <c r="AP61" s="109" t="str">
        <f t="array" ref="AP61:AP67">IF(ISBLANK($C$6:$C$46), "", IF(EXACT($C$6:$C$46, AO27:AO67), 3, IF(SIGN(LEFT($C$6:$C$46, 1) - RIGHT($C$6:$C$46, 1)) = SIGN(LEFT(AO27:AO67, 1) - RIGHT(AO27:AO67, 1)), 1, 0)))</f>
        <v/>
      </c>
      <c r="AQ61" s="108"/>
      <c r="AR61" s="81" t="str">
        <f t="array" ref="AR61:AR67">IF(ISBLANK($C$6:$C$46), "", IF(EXACT($C$6:$C$46, AQ27:AQ67), 3, IF(SIGN(LEFT($C$6:$C$46, 1) - RIGHT($C$6:$C$46, 1)) = SIGN(LEFT(AQ27:AQ67, 1) - RIGHT(AQ27:AQ67, 1)), 1, 0)))</f>
        <v/>
      </c>
    </row>
    <row r="62" spans="1:44" ht="12.75" customHeight="1">
      <c r="A62" s="99" t="s">
        <v>110</v>
      </c>
      <c r="B62" s="95" t="s">
        <v>121</v>
      </c>
      <c r="C62" s="96"/>
      <c r="D62" s="83"/>
      <c r="E62" s="102" t="s">
        <v>28</v>
      </c>
      <c r="F62" s="103" t="str">
        <v/>
      </c>
      <c r="G62" s="102" t="s">
        <v>39</v>
      </c>
      <c r="H62" s="103" t="str">
        <v/>
      </c>
      <c r="I62" s="102" t="s">
        <v>38</v>
      </c>
      <c r="J62" s="103" t="str">
        <v/>
      </c>
      <c r="K62" s="102" t="s">
        <v>33</v>
      </c>
      <c r="L62" s="103" t="str">
        <v/>
      </c>
      <c r="M62" s="102" t="s">
        <v>29</v>
      </c>
      <c r="N62" s="103" t="str">
        <v/>
      </c>
      <c r="O62" s="96" t="s">
        <v>28</v>
      </c>
      <c r="P62" s="103" t="str">
        <v/>
      </c>
      <c r="Q62" s="102" t="s">
        <v>28</v>
      </c>
      <c r="R62" s="103" t="str">
        <v/>
      </c>
      <c r="S62" s="102" t="s">
        <v>39</v>
      </c>
      <c r="T62" s="103" t="str">
        <v/>
      </c>
      <c r="U62" s="102" t="s">
        <v>28</v>
      </c>
      <c r="V62" s="103" t="str">
        <v/>
      </c>
      <c r="W62" s="102" t="s">
        <v>28</v>
      </c>
      <c r="X62" s="103" t="str">
        <v/>
      </c>
      <c r="Y62" s="102" t="s">
        <v>39</v>
      </c>
      <c r="Z62" s="103" t="str">
        <v/>
      </c>
      <c r="AA62" s="96" t="s">
        <v>38</v>
      </c>
      <c r="AB62" s="116" t="str">
        <v/>
      </c>
      <c r="AC62" s="102" t="s">
        <v>28</v>
      </c>
      <c r="AD62" s="103" t="str">
        <v/>
      </c>
      <c r="AE62" s="102" t="s">
        <v>32</v>
      </c>
      <c r="AF62" s="103" t="str">
        <v/>
      </c>
      <c r="AG62" s="102" t="s">
        <v>37</v>
      </c>
      <c r="AH62" s="103" t="str">
        <v/>
      </c>
      <c r="AI62" s="102" t="s">
        <v>38</v>
      </c>
      <c r="AJ62" s="103" t="str">
        <v/>
      </c>
      <c r="AK62" s="102" t="s">
        <v>38</v>
      </c>
      <c r="AL62" s="103" t="str">
        <v/>
      </c>
      <c r="AM62" s="102" t="s">
        <v>38</v>
      </c>
      <c r="AN62" s="103" t="str">
        <v/>
      </c>
      <c r="AO62" s="102" t="s">
        <v>28</v>
      </c>
      <c r="AP62" s="103" t="str">
        <v/>
      </c>
      <c r="AQ62" s="102" t="s">
        <v>28</v>
      </c>
      <c r="AR62" s="10" t="str">
        <v/>
      </c>
    </row>
    <row r="63" spans="1:44" ht="12.75" customHeight="1">
      <c r="A63" s="99" t="s">
        <v>112</v>
      </c>
      <c r="B63" s="95" t="s">
        <v>122</v>
      </c>
      <c r="C63" s="96"/>
      <c r="D63" s="83"/>
      <c r="E63" s="102" t="s">
        <v>39</v>
      </c>
      <c r="F63" s="103" t="str">
        <v/>
      </c>
      <c r="G63" s="102" t="s">
        <v>38</v>
      </c>
      <c r="H63" s="103" t="str">
        <v/>
      </c>
      <c r="I63" s="102" t="s">
        <v>39</v>
      </c>
      <c r="J63" s="103" t="str">
        <v/>
      </c>
      <c r="K63" s="102" t="s">
        <v>38</v>
      </c>
      <c r="L63" s="103" t="str">
        <v/>
      </c>
      <c r="M63" s="102" t="s">
        <v>39</v>
      </c>
      <c r="N63" s="103" t="str">
        <v/>
      </c>
      <c r="O63" s="96" t="s">
        <v>44</v>
      </c>
      <c r="P63" s="103" t="str">
        <v/>
      </c>
      <c r="Q63" s="102" t="s">
        <v>28</v>
      </c>
      <c r="R63" s="103" t="str">
        <v/>
      </c>
      <c r="S63" s="102" t="s">
        <v>33</v>
      </c>
      <c r="T63" s="103" t="str">
        <v/>
      </c>
      <c r="U63" s="102" t="s">
        <v>32</v>
      </c>
      <c r="V63" s="103" t="str">
        <v/>
      </c>
      <c r="W63" s="102" t="s">
        <v>38</v>
      </c>
      <c r="X63" s="103" t="str">
        <v/>
      </c>
      <c r="Y63" s="102" t="s">
        <v>33</v>
      </c>
      <c r="Z63" s="103" t="str">
        <v/>
      </c>
      <c r="AA63" s="96" t="s">
        <v>44</v>
      </c>
      <c r="AB63" s="116" t="str">
        <v/>
      </c>
      <c r="AC63" s="102" t="s">
        <v>38</v>
      </c>
      <c r="AD63" s="103" t="str">
        <v/>
      </c>
      <c r="AE63" s="102" t="s">
        <v>32</v>
      </c>
      <c r="AF63" s="103" t="str">
        <v/>
      </c>
      <c r="AG63" s="102" t="s">
        <v>29</v>
      </c>
      <c r="AH63" s="103" t="str">
        <v/>
      </c>
      <c r="AI63" s="102" t="s">
        <v>33</v>
      </c>
      <c r="AJ63" s="103" t="str">
        <v/>
      </c>
      <c r="AK63" s="102" t="s">
        <v>32</v>
      </c>
      <c r="AL63" s="103" t="str">
        <v/>
      </c>
      <c r="AM63" s="102" t="s">
        <v>33</v>
      </c>
      <c r="AN63" s="103" t="str">
        <v/>
      </c>
      <c r="AO63" s="102" t="s">
        <v>33</v>
      </c>
      <c r="AP63" s="103" t="str">
        <v/>
      </c>
      <c r="AQ63" s="102" t="s">
        <v>28</v>
      </c>
      <c r="AR63" s="10" t="str">
        <v/>
      </c>
    </row>
    <row r="64" spans="1:44" ht="12.75" customHeight="1">
      <c r="A64" s="99" t="s">
        <v>114</v>
      </c>
      <c r="B64" s="95" t="s">
        <v>123</v>
      </c>
      <c r="C64" s="96"/>
      <c r="D64" s="83"/>
      <c r="E64" s="102" t="s">
        <v>36</v>
      </c>
      <c r="F64" s="103" t="str">
        <v/>
      </c>
      <c r="G64" s="102" t="s">
        <v>37</v>
      </c>
      <c r="H64" s="103" t="str">
        <v/>
      </c>
      <c r="I64" s="102" t="s">
        <v>48</v>
      </c>
      <c r="J64" s="103" t="str">
        <v/>
      </c>
      <c r="K64" s="102" t="s">
        <v>37</v>
      </c>
      <c r="L64" s="103" t="str">
        <v/>
      </c>
      <c r="M64" s="102" t="s">
        <v>37</v>
      </c>
      <c r="N64" s="103" t="str">
        <v/>
      </c>
      <c r="O64" s="96" t="s">
        <v>28</v>
      </c>
      <c r="P64" s="103" t="str">
        <v/>
      </c>
      <c r="Q64" s="102" t="s">
        <v>48</v>
      </c>
      <c r="R64" s="103" t="str">
        <v/>
      </c>
      <c r="S64" s="102" t="s">
        <v>37</v>
      </c>
      <c r="T64" s="103" t="str">
        <v/>
      </c>
      <c r="U64" s="102" t="s">
        <v>37</v>
      </c>
      <c r="V64" s="103" t="str">
        <v/>
      </c>
      <c r="W64" s="102" t="s">
        <v>36</v>
      </c>
      <c r="X64" s="103" t="str">
        <v/>
      </c>
      <c r="Y64" s="102" t="s">
        <v>36</v>
      </c>
      <c r="Z64" s="103" t="str">
        <v/>
      </c>
      <c r="AA64" s="96" t="s">
        <v>29</v>
      </c>
      <c r="AB64" s="116" t="str">
        <v/>
      </c>
      <c r="AC64" s="102" t="s">
        <v>44</v>
      </c>
      <c r="AD64" s="103" t="str">
        <v/>
      </c>
      <c r="AE64" s="102" t="s">
        <v>37</v>
      </c>
      <c r="AF64" s="103" t="str">
        <v/>
      </c>
      <c r="AG64" s="102" t="s">
        <v>36</v>
      </c>
      <c r="AH64" s="103" t="str">
        <v/>
      </c>
      <c r="AI64" s="102" t="s">
        <v>30</v>
      </c>
      <c r="AJ64" s="103" t="str">
        <v/>
      </c>
      <c r="AK64" s="102" t="s">
        <v>48</v>
      </c>
      <c r="AL64" s="103" t="str">
        <v/>
      </c>
      <c r="AM64" s="102" t="s">
        <v>36</v>
      </c>
      <c r="AN64" s="103" t="str">
        <v/>
      </c>
      <c r="AO64" s="102" t="s">
        <v>36</v>
      </c>
      <c r="AP64" s="103" t="str">
        <v/>
      </c>
      <c r="AQ64" s="102" t="s">
        <v>44</v>
      </c>
      <c r="AR64" s="10" t="str">
        <v/>
      </c>
    </row>
    <row r="65" spans="1:44" ht="12.75" customHeight="1">
      <c r="A65" s="99" t="s">
        <v>114</v>
      </c>
      <c r="B65" s="95" t="s">
        <v>124</v>
      </c>
      <c r="C65" s="96"/>
      <c r="D65" s="83"/>
      <c r="E65" s="102" t="s">
        <v>44</v>
      </c>
      <c r="F65" s="103" t="str">
        <v/>
      </c>
      <c r="G65" s="102" t="s">
        <v>49</v>
      </c>
      <c r="H65" s="103" t="str">
        <v/>
      </c>
      <c r="I65" s="102" t="s">
        <v>36</v>
      </c>
      <c r="J65" s="103" t="str">
        <v/>
      </c>
      <c r="K65" s="102" t="s">
        <v>36</v>
      </c>
      <c r="L65" s="103" t="str">
        <v/>
      </c>
      <c r="M65" s="102" t="s">
        <v>39</v>
      </c>
      <c r="N65" s="103" t="str">
        <v/>
      </c>
      <c r="O65" s="96" t="s">
        <v>38</v>
      </c>
      <c r="P65" s="103" t="str">
        <v/>
      </c>
      <c r="Q65" s="102" t="s">
        <v>36</v>
      </c>
      <c r="R65" s="103" t="str">
        <v/>
      </c>
      <c r="S65" s="102" t="s">
        <v>44</v>
      </c>
      <c r="T65" s="103" t="str">
        <v/>
      </c>
      <c r="U65" s="102" t="s">
        <v>37</v>
      </c>
      <c r="V65" s="103" t="str">
        <v/>
      </c>
      <c r="W65" s="102" t="s">
        <v>36</v>
      </c>
      <c r="X65" s="103" t="str">
        <v/>
      </c>
      <c r="Y65" s="102" t="s">
        <v>36</v>
      </c>
      <c r="Z65" s="103" t="str">
        <v/>
      </c>
      <c r="AA65" s="96" t="s">
        <v>38</v>
      </c>
      <c r="AB65" s="116" t="str">
        <v/>
      </c>
      <c r="AC65" s="102" t="s">
        <v>48</v>
      </c>
      <c r="AD65" s="103" t="str">
        <v/>
      </c>
      <c r="AE65" s="102" t="s">
        <v>37</v>
      </c>
      <c r="AF65" s="103" t="str">
        <v/>
      </c>
      <c r="AG65" s="102" t="s">
        <v>37</v>
      </c>
      <c r="AH65" s="103" t="str">
        <v/>
      </c>
      <c r="AI65" s="102" t="s">
        <v>44</v>
      </c>
      <c r="AJ65" s="103" t="str">
        <v/>
      </c>
      <c r="AK65" s="102" t="s">
        <v>44</v>
      </c>
      <c r="AL65" s="103" t="str">
        <v/>
      </c>
      <c r="AM65" s="102" t="s">
        <v>36</v>
      </c>
      <c r="AN65" s="103" t="str">
        <v/>
      </c>
      <c r="AO65" s="102" t="s">
        <v>36</v>
      </c>
      <c r="AP65" s="103" t="str">
        <v/>
      </c>
      <c r="AQ65" s="102" t="s">
        <v>36</v>
      </c>
      <c r="AR65" s="10" t="str">
        <v/>
      </c>
    </row>
    <row r="66" spans="1:44" ht="12.75" customHeight="1">
      <c r="A66" s="99" t="s">
        <v>117</v>
      </c>
      <c r="B66" s="95" t="s">
        <v>125</v>
      </c>
      <c r="C66" s="96"/>
      <c r="D66" s="83"/>
      <c r="E66" s="102" t="s">
        <v>45</v>
      </c>
      <c r="F66" s="103" t="str">
        <v/>
      </c>
      <c r="G66" s="102" t="s">
        <v>37</v>
      </c>
      <c r="H66" s="103" t="str">
        <v/>
      </c>
      <c r="I66" s="102" t="s">
        <v>45</v>
      </c>
      <c r="J66" s="103" t="str">
        <v/>
      </c>
      <c r="K66" s="102" t="s">
        <v>48</v>
      </c>
      <c r="L66" s="103" t="str">
        <v/>
      </c>
      <c r="M66" s="102" t="s">
        <v>45</v>
      </c>
      <c r="N66" s="103" t="str">
        <v/>
      </c>
      <c r="O66" s="96" t="s">
        <v>44</v>
      </c>
      <c r="P66" s="103" t="str">
        <v/>
      </c>
      <c r="Q66" s="102" t="s">
        <v>45</v>
      </c>
      <c r="R66" s="103" t="str">
        <v/>
      </c>
      <c r="S66" s="102" t="s">
        <v>100</v>
      </c>
      <c r="T66" s="103" t="str">
        <v/>
      </c>
      <c r="U66" s="102" t="s">
        <v>44</v>
      </c>
      <c r="V66" s="103" t="str">
        <v/>
      </c>
      <c r="W66" s="102" t="s">
        <v>51</v>
      </c>
      <c r="X66" s="103" t="str">
        <v/>
      </c>
      <c r="Y66" s="102" t="s">
        <v>45</v>
      </c>
      <c r="Z66" s="103" t="str">
        <v/>
      </c>
      <c r="AA66" s="96" t="s">
        <v>31</v>
      </c>
      <c r="AB66" s="116" t="str">
        <v/>
      </c>
      <c r="AC66" s="102" t="s">
        <v>44</v>
      </c>
      <c r="AD66" s="103" t="str">
        <v/>
      </c>
      <c r="AE66" s="102" t="s">
        <v>44</v>
      </c>
      <c r="AF66" s="103" t="str">
        <v/>
      </c>
      <c r="AG66" s="102" t="s">
        <v>44</v>
      </c>
      <c r="AH66" s="103" t="str">
        <v/>
      </c>
      <c r="AI66" s="102" t="s">
        <v>37</v>
      </c>
      <c r="AJ66" s="103" t="str">
        <v/>
      </c>
      <c r="AK66" s="102" t="s">
        <v>51</v>
      </c>
      <c r="AL66" s="103" t="str">
        <v/>
      </c>
      <c r="AM66" s="102" t="s">
        <v>45</v>
      </c>
      <c r="AN66" s="103" t="str">
        <v/>
      </c>
      <c r="AO66" s="102" t="s">
        <v>45</v>
      </c>
      <c r="AP66" s="103" t="str">
        <v/>
      </c>
      <c r="AQ66" s="102" t="s">
        <v>44</v>
      </c>
      <c r="AR66" s="10" t="str">
        <v/>
      </c>
    </row>
    <row r="67" spans="1:44" ht="12.75" customHeight="1">
      <c r="A67" s="99" t="s">
        <v>117</v>
      </c>
      <c r="B67" s="95" t="s">
        <v>126</v>
      </c>
      <c r="C67" s="98"/>
      <c r="D67" s="83"/>
      <c r="E67" s="104" t="s">
        <v>38</v>
      </c>
      <c r="F67" s="103" t="str">
        <v/>
      </c>
      <c r="G67" s="104" t="s">
        <v>28</v>
      </c>
      <c r="H67" s="103" t="str">
        <v/>
      </c>
      <c r="I67" s="104" t="s">
        <v>39</v>
      </c>
      <c r="J67" s="103" t="str">
        <v/>
      </c>
      <c r="K67" s="104" t="s">
        <v>36</v>
      </c>
      <c r="L67" s="103" t="str">
        <v/>
      </c>
      <c r="M67" s="104" t="s">
        <v>39</v>
      </c>
      <c r="N67" s="103" t="str">
        <v/>
      </c>
      <c r="O67" s="98" t="s">
        <v>28</v>
      </c>
      <c r="P67" s="103" t="str">
        <v/>
      </c>
      <c r="Q67" s="104" t="s">
        <v>39</v>
      </c>
      <c r="R67" s="103" t="str">
        <v/>
      </c>
      <c r="S67" s="104" t="s">
        <v>31</v>
      </c>
      <c r="T67" s="103" t="str">
        <v/>
      </c>
      <c r="U67" s="104" t="s">
        <v>37</v>
      </c>
      <c r="V67" s="103" t="str">
        <v/>
      </c>
      <c r="W67" s="104" t="s">
        <v>39</v>
      </c>
      <c r="X67" s="103" t="str">
        <v/>
      </c>
      <c r="Y67" s="104" t="s">
        <v>36</v>
      </c>
      <c r="Z67" s="103" t="str">
        <v/>
      </c>
      <c r="AA67" s="98" t="s">
        <v>28</v>
      </c>
      <c r="AB67" s="116" t="str">
        <v/>
      </c>
      <c r="AC67" s="104" t="s">
        <v>39</v>
      </c>
      <c r="AD67" s="103" t="str">
        <v/>
      </c>
      <c r="AE67" s="104" t="s">
        <v>39</v>
      </c>
      <c r="AF67" s="103" t="str">
        <v/>
      </c>
      <c r="AG67" s="104" t="s">
        <v>38</v>
      </c>
      <c r="AH67" s="103" t="str">
        <v/>
      </c>
      <c r="AI67" s="104" t="s">
        <v>36</v>
      </c>
      <c r="AJ67" s="103" t="str">
        <v/>
      </c>
      <c r="AK67" s="104" t="s">
        <v>31</v>
      </c>
      <c r="AL67" s="103" t="str">
        <v/>
      </c>
      <c r="AM67" s="104" t="s">
        <v>31</v>
      </c>
      <c r="AN67" s="103" t="str">
        <v/>
      </c>
      <c r="AO67" s="104" t="s">
        <v>36</v>
      </c>
      <c r="AP67" s="103" t="str">
        <v/>
      </c>
      <c r="AQ67" s="104" t="s">
        <v>32</v>
      </c>
      <c r="AR67" s="10" t="str">
        <v/>
      </c>
    </row>
    <row r="68" spans="1:44" ht="12.75" customHeight="1">
      <c r="A68" s="76" t="s">
        <v>127</v>
      </c>
      <c r="B68" s="77"/>
      <c r="C68" s="77"/>
      <c r="D68" s="78"/>
      <c r="E68" s="106"/>
      <c r="F68" s="107" t="str">
        <f t="array" ref="F68:F74">IF(ISBLANK($C$6:$C$46), "", IF(EXACT($C$6:$C$46, E34:E74), 3, IF(SIGN(LEFT($C$6:$C$46, 1) - RIGHT($C$6:$C$46, 1)) = SIGN(LEFT(E34:E74, 1) - RIGHT(E34:E74, 1)), 1, 0)))</f>
        <v/>
      </c>
      <c r="G68" s="108"/>
      <c r="H68" s="109" t="str">
        <f t="array" ref="H68:H74">IF(ISBLANK($C$6:$C$46), "", IF(EXACT($C$6:$C$46, G34:G74), 3, IF(SIGN(LEFT($C$6:$C$46, 1) - RIGHT($C$6:$C$46, 1)) = SIGN(LEFT(G34:G74, 1) - RIGHT(G34:G74, 1)), 1, 0)))</f>
        <v/>
      </c>
      <c r="I68" s="108"/>
      <c r="J68" s="109" t="str">
        <f t="array" ref="J68:J74">IF(ISBLANK($C$6:$C$46), "", IF(EXACT($C$6:$C$46, I34:I74), 3, IF(SIGN(LEFT($C$6:$C$46, 1) - RIGHT($C$6:$C$46, 1)) = SIGN(LEFT(I34:I74, 1) - RIGHT(I34:I74, 1)), 1, 0)))</f>
        <v/>
      </c>
      <c r="K68" s="108"/>
      <c r="L68" s="109" t="str">
        <f t="array" ref="L68:L74">IF(ISBLANK($C$6:$C$46), "", IF(EXACT($C$6:$C$46, K34:K74), 3, IF(SIGN(LEFT($C$6:$C$46, 1) - RIGHT($C$6:$C$46, 1)) = SIGN(LEFT(K34:K74, 1) - RIGHT(K34:K74, 1)), 1, 0)))</f>
        <v/>
      </c>
      <c r="M68" s="108"/>
      <c r="N68" s="109" t="str">
        <f t="array" ref="N68:N74">IF(ISBLANK($C$6:$C$46), "", IF(EXACT($C$6:$C$46, M34:M74), 3, IF(SIGN(LEFT($C$6:$C$46, 1) - RIGHT($C$6:$C$46, 1)) = SIGN(LEFT(M34:M74, 1) - RIGHT(M34:M74, 1)), 1, 0)))</f>
        <v/>
      </c>
      <c r="O68" s="111"/>
      <c r="P68" s="109" t="str">
        <f t="array" ref="P68:P74">IF(ISBLANK($C$6:$C$46), "", IF(EXACT($C$6:$C$46, O34:O74), 3, IF(SIGN(LEFT($C$6:$C$46, 1) - RIGHT($C$6:$C$46, 1)) = SIGN(LEFT(O34:O74, 1) - RIGHT(O34:O74, 1)), 1, 0)))</f>
        <v/>
      </c>
      <c r="Q68" s="108"/>
      <c r="R68" s="109" t="str">
        <f t="array" ref="R68:R74">IF(ISBLANK($C$6:$C$46), "", IF(EXACT($C$6:$C$46, Q34:Q74), 3, IF(SIGN(LEFT($C$6:$C$46, 1) - RIGHT($C$6:$C$46, 1)) = SIGN(LEFT(Q34:Q74, 1) - RIGHT(Q34:Q74, 1)), 1, 0)))</f>
        <v/>
      </c>
      <c r="S68" s="108"/>
      <c r="T68" s="109" t="str">
        <f t="array" ref="T68:T74">IF(ISBLANK($C$6:$C$46), "", IF(EXACT($C$6:$C$46, S34:S74), 3, IF(SIGN(LEFT($C$6:$C$46, 1) - RIGHT($C$6:$C$46, 1)) = SIGN(LEFT(S34:S74, 1) - RIGHT(S34:S74, 1)), 1, 0)))</f>
        <v/>
      </c>
      <c r="U68" s="108"/>
      <c r="V68" s="109" t="str">
        <f t="array" ref="V68:V74">IF(ISBLANK($C$6:$C$46), "", IF(EXACT($C$6:$C$46, U34:U74), 3, IF(SIGN(LEFT($C$6:$C$46, 1) - RIGHT($C$6:$C$46, 1)) = SIGN(LEFT(U34:U74, 1) - RIGHT(U34:U74, 1)), 1, 0)))</f>
        <v/>
      </c>
      <c r="W68" s="108"/>
      <c r="X68" s="109" t="str">
        <f t="array" ref="X68:X74">IF(ISBLANK($C$6:$C$46), "", IF(EXACT($C$6:$C$46, W34:W74), 3, IF(SIGN(LEFT($C$6:$C$46, 1) - RIGHT($C$6:$C$46, 1)) = SIGN(LEFT(W34:W74, 1) - RIGHT(W34:W74, 1)), 1, 0)))</f>
        <v/>
      </c>
      <c r="Y68" s="108"/>
      <c r="Z68" s="109" t="str">
        <f t="array" ref="Z68:Z74">IF(ISBLANK($C$6:$C$46), "", IF(EXACT($C$6:$C$46, Y34:Y74), 3, IF(SIGN(LEFT($C$6:$C$46, 1) - RIGHT($C$6:$C$46, 1)) = SIGN(LEFT(Y34:Y74, 1) - RIGHT(Y34:Y74, 1)), 1, 0)))</f>
        <v/>
      </c>
      <c r="AA68" s="111"/>
      <c r="AB68" s="118" t="str">
        <f t="array" ref="AB68:AB74">IF(ISBLANK($C$6:$C$46), "", IF(EXACT($C$6:$C$46, AA34:AA74), 3, IF(SIGN(LEFT($C$6:$C$46, 1) - RIGHT($C$6:$C$46, 1)) = SIGN(LEFT(AA34:AA74, 1) - RIGHT(AA34:AA74, 1)), 1, 0)))</f>
        <v/>
      </c>
      <c r="AC68" s="108"/>
      <c r="AD68" s="109" t="str">
        <f t="array" ref="AD68:AD74">IF(ISBLANK($C$6:$C$46), "", IF(EXACT($C$6:$C$46, AC34:AC74), 3, IF(SIGN(LEFT($C$6:$C$46, 1) - RIGHT($C$6:$C$46, 1)) = SIGN(LEFT(AC34:AC74, 1) - RIGHT(AC34:AC74, 1)), 1, 0)))</f>
        <v/>
      </c>
      <c r="AE68" s="108"/>
      <c r="AF68" s="109" t="str">
        <f t="array" ref="AF68:AF74">IF(ISBLANK($C$6:$C$46), "", IF(EXACT($C$6:$C$46, AE34:AE74), 3, IF(SIGN(LEFT($C$6:$C$46, 1) - RIGHT($C$6:$C$46, 1)) = SIGN(LEFT(AE34:AE74, 1) - RIGHT(AE34:AE74, 1)), 1, 0)))</f>
        <v/>
      </c>
      <c r="AG68" s="108"/>
      <c r="AH68" s="109" t="str">
        <f t="array" ref="AH68:AH74">IF(ISBLANK($C$6:$C$46), "", IF(EXACT($C$6:$C$46, AG34:AG74), 3, IF(SIGN(LEFT($C$6:$C$46, 1) - RIGHT($C$6:$C$46, 1)) = SIGN(LEFT(AG34:AG74, 1) - RIGHT(AG34:AG74, 1)), 1, 0)))</f>
        <v/>
      </c>
      <c r="AI68" s="108"/>
      <c r="AJ68" s="109" t="str">
        <f t="array" ref="AJ68:AJ74">IF(ISBLANK($C$6:$C$46), "", IF(EXACT($C$6:$C$46, AI34:AI74), 3, IF(SIGN(LEFT($C$6:$C$46, 1) - RIGHT($C$6:$C$46, 1)) = SIGN(LEFT(AI34:AI74, 1) - RIGHT(AI34:AI74, 1)), 1, 0)))</f>
        <v/>
      </c>
      <c r="AK68" s="108"/>
      <c r="AL68" s="109" t="str">
        <f t="array" ref="AL68:AL74">IF(ISBLANK($C$6:$C$46), "", IF(EXACT($C$6:$C$46, AK34:AK74), 3, IF(SIGN(LEFT($C$6:$C$46, 1) - RIGHT($C$6:$C$46, 1)) = SIGN(LEFT(AK34:AK74, 1) - RIGHT(AK34:AK74, 1)), 1, 0)))</f>
        <v/>
      </c>
      <c r="AM68" s="108"/>
      <c r="AN68" s="109" t="str">
        <f t="array" ref="AN68:AN74">IF(ISBLANK($C$6:$C$46), "", IF(EXACT($C$6:$C$46, AM34:AM74), 3, IF(SIGN(LEFT($C$6:$C$46, 1) - RIGHT($C$6:$C$46, 1)) = SIGN(LEFT(AM34:AM74, 1) - RIGHT(AM34:AM74, 1)), 1, 0)))</f>
        <v/>
      </c>
      <c r="AO68" s="108"/>
      <c r="AP68" s="109" t="str">
        <f t="array" ref="AP68:AP74">IF(ISBLANK($C$6:$C$46), "", IF(EXACT($C$6:$C$46, AO34:AO74), 3, IF(SIGN(LEFT($C$6:$C$46, 1) - RIGHT($C$6:$C$46, 1)) = SIGN(LEFT(AO34:AO74, 1) - RIGHT(AO34:AO74, 1)), 1, 0)))</f>
        <v/>
      </c>
      <c r="AQ68" s="108"/>
      <c r="AR68" s="81" t="str">
        <f t="array" ref="AR68:AR74">IF(ISBLANK($C$6:$C$46), "", IF(EXACT($C$6:$C$46, AQ34:AQ74), 3, IF(SIGN(LEFT($C$6:$C$46, 1) - RIGHT($C$6:$C$46, 1)) = SIGN(LEFT(AQ34:AQ74, 1) - RIGHT(AQ34:AQ74, 1)), 1, 0)))</f>
        <v/>
      </c>
    </row>
    <row r="69" spans="1:44" ht="12.75" customHeight="1">
      <c r="A69" s="99" t="s">
        <v>128</v>
      </c>
      <c r="B69" s="95" t="s">
        <v>129</v>
      </c>
      <c r="C69" s="96"/>
      <c r="D69" s="83"/>
      <c r="E69" s="102" t="s">
        <v>28</v>
      </c>
      <c r="F69" s="103" t="str">
        <v/>
      </c>
      <c r="G69" s="102" t="s">
        <v>39</v>
      </c>
      <c r="H69" s="103" t="str">
        <v/>
      </c>
      <c r="I69" s="102" t="s">
        <v>38</v>
      </c>
      <c r="J69" s="103" t="str">
        <v/>
      </c>
      <c r="K69" s="102" t="s">
        <v>33</v>
      </c>
      <c r="L69" s="103" t="str">
        <v/>
      </c>
      <c r="M69" s="102" t="s">
        <v>29</v>
      </c>
      <c r="N69" s="103" t="str">
        <v/>
      </c>
      <c r="O69" s="96" t="s">
        <v>28</v>
      </c>
      <c r="P69" s="103" t="str">
        <v/>
      </c>
      <c r="Q69" s="102" t="s">
        <v>28</v>
      </c>
      <c r="R69" s="103" t="str">
        <v/>
      </c>
      <c r="S69" s="102" t="s">
        <v>39</v>
      </c>
      <c r="T69" s="103" t="str">
        <v/>
      </c>
      <c r="U69" s="102" t="s">
        <v>28</v>
      </c>
      <c r="V69" s="103" t="str">
        <v/>
      </c>
      <c r="W69" s="102" t="s">
        <v>28</v>
      </c>
      <c r="X69" s="103" t="str">
        <v/>
      </c>
      <c r="Y69" s="102" t="s">
        <v>39</v>
      </c>
      <c r="Z69" s="103" t="str">
        <v/>
      </c>
      <c r="AA69" s="96" t="s">
        <v>28</v>
      </c>
      <c r="AB69" s="116" t="str">
        <v/>
      </c>
      <c r="AC69" s="102" t="s">
        <v>28</v>
      </c>
      <c r="AD69" s="103" t="str">
        <v/>
      </c>
      <c r="AE69" s="102" t="s">
        <v>32</v>
      </c>
      <c r="AF69" s="103" t="str">
        <v/>
      </c>
      <c r="AG69" s="102" t="s">
        <v>37</v>
      </c>
      <c r="AH69" s="103" t="str">
        <v/>
      </c>
      <c r="AI69" s="102" t="s">
        <v>38</v>
      </c>
      <c r="AJ69" s="103" t="str">
        <v/>
      </c>
      <c r="AK69" s="102" t="s">
        <v>38</v>
      </c>
      <c r="AL69" s="103" t="str">
        <v/>
      </c>
      <c r="AM69" s="102" t="s">
        <v>38</v>
      </c>
      <c r="AN69" s="103" t="str">
        <v/>
      </c>
      <c r="AO69" s="102" t="s">
        <v>28</v>
      </c>
      <c r="AP69" s="103" t="str">
        <v/>
      </c>
      <c r="AQ69" s="102" t="s">
        <v>28</v>
      </c>
      <c r="AR69" s="10" t="str">
        <v/>
      </c>
    </row>
    <row r="70" spans="1:44" ht="12.75" customHeight="1">
      <c r="A70" s="99" t="s">
        <v>130</v>
      </c>
      <c r="B70" s="95" t="s">
        <v>131</v>
      </c>
      <c r="C70" s="96"/>
      <c r="D70" s="83"/>
      <c r="E70" s="102" t="s">
        <v>39</v>
      </c>
      <c r="F70" s="103" t="str">
        <v/>
      </c>
      <c r="G70" s="102" t="s">
        <v>38</v>
      </c>
      <c r="H70" s="103" t="str">
        <v/>
      </c>
      <c r="I70" s="102" t="s">
        <v>39</v>
      </c>
      <c r="J70" s="103" t="str">
        <v/>
      </c>
      <c r="K70" s="102" t="s">
        <v>38</v>
      </c>
      <c r="L70" s="103" t="str">
        <v/>
      </c>
      <c r="M70" s="102" t="s">
        <v>39</v>
      </c>
      <c r="N70" s="103" t="str">
        <v/>
      </c>
      <c r="O70" s="96" t="s">
        <v>28</v>
      </c>
      <c r="P70" s="103" t="str">
        <v/>
      </c>
      <c r="Q70" s="102" t="s">
        <v>28</v>
      </c>
      <c r="R70" s="103" t="str">
        <v/>
      </c>
      <c r="S70" s="102" t="s">
        <v>33</v>
      </c>
      <c r="T70" s="103" t="str">
        <v/>
      </c>
      <c r="U70" s="102" t="s">
        <v>32</v>
      </c>
      <c r="V70" s="103" t="str">
        <v/>
      </c>
      <c r="W70" s="102" t="s">
        <v>38</v>
      </c>
      <c r="X70" s="103" t="str">
        <v/>
      </c>
      <c r="Y70" s="102" t="s">
        <v>33</v>
      </c>
      <c r="Z70" s="103" t="str">
        <v/>
      </c>
      <c r="AA70" s="96" t="s">
        <v>28</v>
      </c>
      <c r="AB70" s="116" t="str">
        <v/>
      </c>
      <c r="AC70" s="102" t="s">
        <v>38</v>
      </c>
      <c r="AD70" s="103" t="str">
        <v/>
      </c>
      <c r="AE70" s="102" t="s">
        <v>32</v>
      </c>
      <c r="AF70" s="103" t="str">
        <v/>
      </c>
      <c r="AG70" s="102" t="s">
        <v>29</v>
      </c>
      <c r="AH70" s="103" t="str">
        <v/>
      </c>
      <c r="AI70" s="102" t="s">
        <v>33</v>
      </c>
      <c r="AJ70" s="103" t="str">
        <v/>
      </c>
      <c r="AK70" s="102" t="s">
        <v>32</v>
      </c>
      <c r="AL70" s="103" t="str">
        <v/>
      </c>
      <c r="AM70" s="102" t="s">
        <v>33</v>
      </c>
      <c r="AN70" s="103" t="str">
        <v/>
      </c>
      <c r="AO70" s="102" t="s">
        <v>33</v>
      </c>
      <c r="AP70" s="103" t="str">
        <v/>
      </c>
      <c r="AQ70" s="102" t="s">
        <v>28</v>
      </c>
      <c r="AR70" s="10" t="str">
        <v/>
      </c>
    </row>
    <row r="71" spans="1:44" ht="12.75" customHeight="1">
      <c r="A71" s="99" t="s">
        <v>132</v>
      </c>
      <c r="B71" s="95" t="s">
        <v>133</v>
      </c>
      <c r="C71" s="96"/>
      <c r="D71" s="83"/>
      <c r="E71" s="102" t="s">
        <v>36</v>
      </c>
      <c r="F71" s="103" t="str">
        <v/>
      </c>
      <c r="G71" s="102" t="s">
        <v>37</v>
      </c>
      <c r="H71" s="103" t="str">
        <v/>
      </c>
      <c r="I71" s="102" t="s">
        <v>48</v>
      </c>
      <c r="J71" s="103" t="str">
        <v/>
      </c>
      <c r="K71" s="102" t="s">
        <v>37</v>
      </c>
      <c r="L71" s="103" t="str">
        <v/>
      </c>
      <c r="M71" s="102" t="s">
        <v>37</v>
      </c>
      <c r="N71" s="103" t="str">
        <v/>
      </c>
      <c r="O71" s="96" t="s">
        <v>28</v>
      </c>
      <c r="P71" s="103" t="str">
        <v/>
      </c>
      <c r="Q71" s="102" t="s">
        <v>48</v>
      </c>
      <c r="R71" s="103" t="str">
        <v/>
      </c>
      <c r="S71" s="102" t="s">
        <v>37</v>
      </c>
      <c r="T71" s="103" t="str">
        <v/>
      </c>
      <c r="U71" s="102" t="s">
        <v>37</v>
      </c>
      <c r="V71" s="103" t="str">
        <v/>
      </c>
      <c r="W71" s="102" t="s">
        <v>36</v>
      </c>
      <c r="X71" s="103" t="str">
        <v/>
      </c>
      <c r="Y71" s="102" t="s">
        <v>36</v>
      </c>
      <c r="Z71" s="103" t="str">
        <v/>
      </c>
      <c r="AA71" s="96" t="s">
        <v>39</v>
      </c>
      <c r="AB71" s="116" t="str">
        <v/>
      </c>
      <c r="AC71" s="102" t="s">
        <v>44</v>
      </c>
      <c r="AD71" s="103" t="str">
        <v/>
      </c>
      <c r="AE71" s="102" t="s">
        <v>37</v>
      </c>
      <c r="AF71" s="103" t="str">
        <v/>
      </c>
      <c r="AG71" s="102" t="s">
        <v>36</v>
      </c>
      <c r="AH71" s="103" t="str">
        <v/>
      </c>
      <c r="AI71" s="102" t="s">
        <v>30</v>
      </c>
      <c r="AJ71" s="103" t="str">
        <v/>
      </c>
      <c r="AK71" s="102" t="s">
        <v>48</v>
      </c>
      <c r="AL71" s="103" t="str">
        <v/>
      </c>
      <c r="AM71" s="102" t="s">
        <v>36</v>
      </c>
      <c r="AN71" s="103" t="str">
        <v/>
      </c>
      <c r="AO71" s="102" t="s">
        <v>36</v>
      </c>
      <c r="AP71" s="103" t="str">
        <v/>
      </c>
      <c r="AQ71" s="102" t="s">
        <v>44</v>
      </c>
      <c r="AR71" s="10" t="str">
        <v/>
      </c>
    </row>
    <row r="72" spans="1:44" ht="12.75" customHeight="1">
      <c r="A72" s="99" t="s">
        <v>132</v>
      </c>
      <c r="B72" s="95" t="s">
        <v>134</v>
      </c>
      <c r="C72" s="96"/>
      <c r="D72" s="83"/>
      <c r="E72" s="102" t="s">
        <v>44</v>
      </c>
      <c r="F72" s="103" t="str">
        <v/>
      </c>
      <c r="G72" s="102" t="s">
        <v>49</v>
      </c>
      <c r="H72" s="103" t="str">
        <v/>
      </c>
      <c r="I72" s="102" t="s">
        <v>36</v>
      </c>
      <c r="J72" s="103" t="str">
        <v/>
      </c>
      <c r="K72" s="102" t="s">
        <v>36</v>
      </c>
      <c r="L72" s="103" t="str">
        <v/>
      </c>
      <c r="M72" s="102" t="s">
        <v>39</v>
      </c>
      <c r="N72" s="103" t="str">
        <v/>
      </c>
      <c r="O72" s="96" t="s">
        <v>38</v>
      </c>
      <c r="P72" s="103" t="str">
        <v/>
      </c>
      <c r="Q72" s="102" t="s">
        <v>36</v>
      </c>
      <c r="R72" s="103" t="str">
        <v/>
      </c>
      <c r="S72" s="102" t="s">
        <v>44</v>
      </c>
      <c r="T72" s="103" t="str">
        <v/>
      </c>
      <c r="U72" s="102" t="s">
        <v>37</v>
      </c>
      <c r="V72" s="103" t="str">
        <v/>
      </c>
      <c r="W72" s="102" t="s">
        <v>36</v>
      </c>
      <c r="X72" s="103" t="str">
        <v/>
      </c>
      <c r="Y72" s="102" t="s">
        <v>36</v>
      </c>
      <c r="Z72" s="103" t="str">
        <v/>
      </c>
      <c r="AA72" s="96" t="s">
        <v>36</v>
      </c>
      <c r="AB72" s="116" t="str">
        <v/>
      </c>
      <c r="AC72" s="102" t="s">
        <v>48</v>
      </c>
      <c r="AD72" s="103" t="str">
        <v/>
      </c>
      <c r="AE72" s="102" t="s">
        <v>37</v>
      </c>
      <c r="AF72" s="103" t="str">
        <v/>
      </c>
      <c r="AG72" s="102" t="s">
        <v>37</v>
      </c>
      <c r="AH72" s="103" t="str">
        <v/>
      </c>
      <c r="AI72" s="102" t="s">
        <v>44</v>
      </c>
      <c r="AJ72" s="103" t="str">
        <v/>
      </c>
      <c r="AK72" s="102" t="s">
        <v>44</v>
      </c>
      <c r="AL72" s="103" t="str">
        <v/>
      </c>
      <c r="AM72" s="102" t="s">
        <v>36</v>
      </c>
      <c r="AN72" s="103" t="str">
        <v/>
      </c>
      <c r="AO72" s="102" t="s">
        <v>36</v>
      </c>
      <c r="AP72" s="103" t="str">
        <v/>
      </c>
      <c r="AQ72" s="102" t="s">
        <v>36</v>
      </c>
      <c r="AR72" s="10" t="str">
        <v/>
      </c>
    </row>
    <row r="73" spans="1:44" ht="12.75" customHeight="1">
      <c r="A73" s="99" t="s">
        <v>135</v>
      </c>
      <c r="B73" s="95" t="s">
        <v>136</v>
      </c>
      <c r="C73" s="96"/>
      <c r="D73" s="83"/>
      <c r="E73" s="102" t="s">
        <v>45</v>
      </c>
      <c r="F73" s="103" t="str">
        <v/>
      </c>
      <c r="G73" s="102" t="s">
        <v>37</v>
      </c>
      <c r="H73" s="103" t="str">
        <v/>
      </c>
      <c r="I73" s="102" t="s">
        <v>45</v>
      </c>
      <c r="J73" s="103" t="str">
        <v/>
      </c>
      <c r="K73" s="102" t="s">
        <v>48</v>
      </c>
      <c r="L73" s="103" t="str">
        <v/>
      </c>
      <c r="M73" s="102" t="s">
        <v>45</v>
      </c>
      <c r="N73" s="103" t="str">
        <v/>
      </c>
      <c r="O73" s="96" t="s">
        <v>44</v>
      </c>
      <c r="P73" s="103" t="str">
        <v/>
      </c>
      <c r="Q73" s="102" t="s">
        <v>45</v>
      </c>
      <c r="R73" s="103" t="str">
        <v/>
      </c>
      <c r="S73" s="102" t="s">
        <v>100</v>
      </c>
      <c r="T73" s="103" t="str">
        <v/>
      </c>
      <c r="U73" s="102" t="s">
        <v>44</v>
      </c>
      <c r="V73" s="103" t="str">
        <v/>
      </c>
      <c r="W73" s="102" t="s">
        <v>51</v>
      </c>
      <c r="X73" s="103" t="str">
        <v/>
      </c>
      <c r="Y73" s="102" t="s">
        <v>45</v>
      </c>
      <c r="Z73" s="103" t="str">
        <v/>
      </c>
      <c r="AA73" s="96" t="s">
        <v>36</v>
      </c>
      <c r="AB73" s="116" t="str">
        <v/>
      </c>
      <c r="AC73" s="102" t="s">
        <v>44</v>
      </c>
      <c r="AD73" s="103" t="str">
        <v/>
      </c>
      <c r="AE73" s="102" t="s">
        <v>44</v>
      </c>
      <c r="AF73" s="103" t="str">
        <v/>
      </c>
      <c r="AG73" s="102" t="s">
        <v>44</v>
      </c>
      <c r="AH73" s="103" t="str">
        <v/>
      </c>
      <c r="AI73" s="102" t="s">
        <v>37</v>
      </c>
      <c r="AJ73" s="103" t="str">
        <v/>
      </c>
      <c r="AK73" s="102" t="s">
        <v>51</v>
      </c>
      <c r="AL73" s="103" t="str">
        <v/>
      </c>
      <c r="AM73" s="102" t="s">
        <v>45</v>
      </c>
      <c r="AN73" s="103" t="str">
        <v/>
      </c>
      <c r="AO73" s="102" t="s">
        <v>45</v>
      </c>
      <c r="AP73" s="103" t="str">
        <v/>
      </c>
      <c r="AQ73" s="102" t="s">
        <v>44</v>
      </c>
      <c r="AR73" s="10" t="str">
        <v/>
      </c>
    </row>
    <row r="74" spans="1:44" ht="12.75" customHeight="1">
      <c r="A74" s="99" t="s">
        <v>135</v>
      </c>
      <c r="B74" s="95" t="s">
        <v>137</v>
      </c>
      <c r="C74" s="98"/>
      <c r="D74" s="83"/>
      <c r="E74" s="104" t="s">
        <v>38</v>
      </c>
      <c r="F74" s="103" t="str">
        <v/>
      </c>
      <c r="G74" s="104" t="s">
        <v>28</v>
      </c>
      <c r="H74" s="103" t="str">
        <v/>
      </c>
      <c r="I74" s="104" t="s">
        <v>39</v>
      </c>
      <c r="J74" s="103" t="str">
        <v/>
      </c>
      <c r="K74" s="104" t="s">
        <v>36</v>
      </c>
      <c r="L74" s="103" t="str">
        <v/>
      </c>
      <c r="M74" s="104" t="s">
        <v>39</v>
      </c>
      <c r="N74" s="103" t="str">
        <v/>
      </c>
      <c r="O74" s="98" t="s">
        <v>45</v>
      </c>
      <c r="P74" s="103" t="str">
        <v/>
      </c>
      <c r="Q74" s="104" t="s">
        <v>39</v>
      </c>
      <c r="R74" s="103" t="str">
        <v/>
      </c>
      <c r="S74" s="104" t="s">
        <v>31</v>
      </c>
      <c r="T74" s="103" t="str">
        <v/>
      </c>
      <c r="U74" s="104" t="s">
        <v>37</v>
      </c>
      <c r="V74" s="103" t="str">
        <v/>
      </c>
      <c r="W74" s="104" t="s">
        <v>39</v>
      </c>
      <c r="X74" s="103" t="str">
        <v/>
      </c>
      <c r="Y74" s="104" t="s">
        <v>36</v>
      </c>
      <c r="Z74" s="103" t="str">
        <v/>
      </c>
      <c r="AA74" s="98" t="s">
        <v>45</v>
      </c>
      <c r="AB74" s="116" t="str">
        <v/>
      </c>
      <c r="AC74" s="104" t="s">
        <v>39</v>
      </c>
      <c r="AD74" s="103" t="str">
        <v/>
      </c>
      <c r="AE74" s="104" t="s">
        <v>39</v>
      </c>
      <c r="AF74" s="103" t="str">
        <v/>
      </c>
      <c r="AG74" s="104" t="s">
        <v>38</v>
      </c>
      <c r="AH74" s="103" t="str">
        <v/>
      </c>
      <c r="AI74" s="104" t="s">
        <v>36</v>
      </c>
      <c r="AJ74" s="103" t="str">
        <v/>
      </c>
      <c r="AK74" s="104" t="s">
        <v>31</v>
      </c>
      <c r="AL74" s="103" t="str">
        <v/>
      </c>
      <c r="AM74" s="104" t="s">
        <v>31</v>
      </c>
      <c r="AN74" s="103" t="str">
        <v/>
      </c>
      <c r="AO74" s="104" t="s">
        <v>36</v>
      </c>
      <c r="AP74" s="103" t="str">
        <v/>
      </c>
      <c r="AQ74" s="104" t="s">
        <v>32</v>
      </c>
      <c r="AR74" s="10" t="str">
        <v/>
      </c>
    </row>
    <row r="75" spans="1:44" ht="12.75" customHeight="1">
      <c r="A75" s="76" t="s">
        <v>138</v>
      </c>
      <c r="B75" s="77"/>
      <c r="C75" s="77"/>
      <c r="D75" s="78"/>
      <c r="E75" s="106"/>
      <c r="F75" s="107" t="str">
        <f t="array" ref="F75:F81">IF(ISBLANK($C$6:$C$46), "", IF(EXACT($C$6:$C$46, E41:E81), 3, IF(SIGN(LEFT($C$6:$C$46, 1) - RIGHT($C$6:$C$46, 1)) = SIGN(LEFT(E41:E81, 1) - RIGHT(E41:E81, 1)), 1, 0)))</f>
        <v/>
      </c>
      <c r="G75" s="108"/>
      <c r="H75" s="109" t="str">
        <f t="array" ref="H75:H81">IF(ISBLANK($C$6:$C$46), "", IF(EXACT($C$6:$C$46, G41:G81), 3, IF(SIGN(LEFT($C$6:$C$46, 1) - RIGHT($C$6:$C$46, 1)) = SIGN(LEFT(G41:G81, 1) - RIGHT(G41:G81, 1)), 1, 0)))</f>
        <v/>
      </c>
      <c r="I75" s="108"/>
      <c r="J75" s="109" t="str">
        <f t="array" ref="J75:J81">IF(ISBLANK($C$6:$C$46), "", IF(EXACT($C$6:$C$46, I41:I81), 3, IF(SIGN(LEFT($C$6:$C$46, 1) - RIGHT($C$6:$C$46, 1)) = SIGN(LEFT(I41:I81, 1) - RIGHT(I41:I81, 1)), 1, 0)))</f>
        <v/>
      </c>
      <c r="K75" s="108"/>
      <c r="L75" s="109" t="str">
        <f t="array" ref="L75:L81">IF(ISBLANK($C$6:$C$46), "", IF(EXACT($C$6:$C$46, K41:K81), 3, IF(SIGN(LEFT($C$6:$C$46, 1) - RIGHT($C$6:$C$46, 1)) = SIGN(LEFT(K41:K81, 1) - RIGHT(K41:K81, 1)), 1, 0)))</f>
        <v/>
      </c>
      <c r="M75" s="108"/>
      <c r="N75" s="109" t="str">
        <f t="array" ref="N75:N81">IF(ISBLANK($C$6:$C$46), "", IF(EXACT($C$6:$C$46, M41:M81), 3, IF(SIGN(LEFT($C$6:$C$46, 1) - RIGHT($C$6:$C$46, 1)) = SIGN(LEFT(M41:M81, 1) - RIGHT(M41:M81, 1)), 1, 0)))</f>
        <v/>
      </c>
      <c r="O75" s="111"/>
      <c r="P75" s="109" t="str">
        <f t="array" ref="P75:P81">IF(ISBLANK($C$6:$C$46), "", IF(EXACT($C$6:$C$46, O41:O81), 3, IF(SIGN(LEFT($C$6:$C$46, 1) - RIGHT($C$6:$C$46, 1)) = SIGN(LEFT(O41:O81, 1) - RIGHT(O41:O81, 1)), 1, 0)))</f>
        <v/>
      </c>
      <c r="Q75" s="108"/>
      <c r="R75" s="109" t="str">
        <f t="array" ref="R75:R81">IF(ISBLANK($C$6:$C$46), "", IF(EXACT($C$6:$C$46, Q41:Q81), 3, IF(SIGN(LEFT($C$6:$C$46, 1) - RIGHT($C$6:$C$46, 1)) = SIGN(LEFT(Q41:Q81, 1) - RIGHT(Q41:Q81, 1)), 1, 0)))</f>
        <v/>
      </c>
      <c r="S75" s="108"/>
      <c r="T75" s="109" t="str">
        <f t="array" ref="T75:T81">IF(ISBLANK($C$6:$C$46), "", IF(EXACT($C$6:$C$46, S41:S81), 3, IF(SIGN(LEFT($C$6:$C$46, 1) - RIGHT($C$6:$C$46, 1)) = SIGN(LEFT(S41:S81, 1) - RIGHT(S41:S81, 1)), 1, 0)))</f>
        <v/>
      </c>
      <c r="U75" s="108"/>
      <c r="V75" s="109" t="str">
        <f t="array" ref="V75:V81">IF(ISBLANK($C$6:$C$46), "", IF(EXACT($C$6:$C$46, U41:U81), 3, IF(SIGN(LEFT($C$6:$C$46, 1) - RIGHT($C$6:$C$46, 1)) = SIGN(LEFT(U41:U81, 1) - RIGHT(U41:U81, 1)), 1, 0)))</f>
        <v/>
      </c>
      <c r="W75" s="108"/>
      <c r="X75" s="109" t="str">
        <f t="array" ref="X75:X81">IF(ISBLANK($C$6:$C$46), "", IF(EXACT($C$6:$C$46, W41:W81), 3, IF(SIGN(LEFT($C$6:$C$46, 1) - RIGHT($C$6:$C$46, 1)) = SIGN(LEFT(W41:W81, 1) - RIGHT(W41:W81, 1)), 1, 0)))</f>
        <v/>
      </c>
      <c r="Y75" s="108"/>
      <c r="Z75" s="109" t="str">
        <f t="array" ref="Z75:Z81">IF(ISBLANK($C$6:$C$46), "", IF(EXACT($C$6:$C$46, Y41:Y81), 3, IF(SIGN(LEFT($C$6:$C$46, 1) - RIGHT($C$6:$C$46, 1)) = SIGN(LEFT(Y41:Y81, 1) - RIGHT(Y41:Y81, 1)), 1, 0)))</f>
        <v/>
      </c>
      <c r="AA75" s="111"/>
      <c r="AB75" s="118" t="str">
        <f t="array" ref="AB75:AB81">IF(ISBLANK($C$6:$C$46), "", IF(EXACT($C$6:$C$46, AA41:AA81), 3, IF(SIGN(LEFT($C$6:$C$46, 1) - RIGHT($C$6:$C$46, 1)) = SIGN(LEFT(AA41:AA81, 1) - RIGHT(AA41:AA81, 1)), 1, 0)))</f>
        <v/>
      </c>
      <c r="AC75" s="108"/>
      <c r="AD75" s="109" t="str">
        <f t="array" ref="AD75:AD81">IF(ISBLANK($C$6:$C$46), "", IF(EXACT($C$6:$C$46, AC41:AC81), 3, IF(SIGN(LEFT($C$6:$C$46, 1) - RIGHT($C$6:$C$46, 1)) = SIGN(LEFT(AC41:AC81, 1) - RIGHT(AC41:AC81, 1)), 1, 0)))</f>
        <v/>
      </c>
      <c r="AE75" s="108"/>
      <c r="AF75" s="109" t="str">
        <f t="array" ref="AF75:AF81">IF(ISBLANK($C$6:$C$46), "", IF(EXACT($C$6:$C$46, AE41:AE81), 3, IF(SIGN(LEFT($C$6:$C$46, 1) - RIGHT($C$6:$C$46, 1)) = SIGN(LEFT(AE41:AE81, 1) - RIGHT(AE41:AE81, 1)), 1, 0)))</f>
        <v/>
      </c>
      <c r="AG75" s="108"/>
      <c r="AH75" s="109" t="str">
        <f t="array" ref="AH75:AH81">IF(ISBLANK($C$6:$C$46), "", IF(EXACT($C$6:$C$46, AG41:AG81), 3, IF(SIGN(LEFT($C$6:$C$46, 1) - RIGHT($C$6:$C$46, 1)) = SIGN(LEFT(AG41:AG81, 1) - RIGHT(AG41:AG81, 1)), 1, 0)))</f>
        <v/>
      </c>
      <c r="AI75" s="108"/>
      <c r="AJ75" s="109" t="str">
        <f t="array" ref="AJ75:AJ81">IF(ISBLANK($C$6:$C$46), "", IF(EXACT($C$6:$C$46, AI41:AI81), 3, IF(SIGN(LEFT($C$6:$C$46, 1) - RIGHT($C$6:$C$46, 1)) = SIGN(LEFT(AI41:AI81, 1) - RIGHT(AI41:AI81, 1)), 1, 0)))</f>
        <v/>
      </c>
      <c r="AK75" s="108"/>
      <c r="AL75" s="109" t="str">
        <f t="array" ref="AL75:AL81">IF(ISBLANK($C$6:$C$46), "", IF(EXACT($C$6:$C$46, AK41:AK81), 3, IF(SIGN(LEFT($C$6:$C$46, 1) - RIGHT($C$6:$C$46, 1)) = SIGN(LEFT(AK41:AK81, 1) - RIGHT(AK41:AK81, 1)), 1, 0)))</f>
        <v/>
      </c>
      <c r="AM75" s="108"/>
      <c r="AN75" s="109" t="str">
        <f t="array" ref="AN75:AN81">IF(ISBLANK($C$6:$C$46), "", IF(EXACT($C$6:$C$46, AM41:AM81), 3, IF(SIGN(LEFT($C$6:$C$46, 1) - RIGHT($C$6:$C$46, 1)) = SIGN(LEFT(AM41:AM81, 1) - RIGHT(AM41:AM81, 1)), 1, 0)))</f>
        <v/>
      </c>
      <c r="AO75" s="108"/>
      <c r="AP75" s="109" t="str">
        <f t="array" ref="AP75:AP81">IF(ISBLANK($C$6:$C$46), "", IF(EXACT($C$6:$C$46, AO41:AO81), 3, IF(SIGN(LEFT($C$6:$C$46, 1) - RIGHT($C$6:$C$46, 1)) = SIGN(LEFT(AO41:AO81, 1) - RIGHT(AO41:AO81, 1)), 1, 0)))</f>
        <v/>
      </c>
      <c r="AQ75" s="108"/>
      <c r="AR75" s="81" t="str">
        <f t="array" ref="AR75:AR81">IF(ISBLANK($C$6:$C$46), "", IF(EXACT($C$6:$C$46, AQ41:AQ81), 3, IF(SIGN(LEFT($C$6:$C$46, 1) - RIGHT($C$6:$C$46, 1)) = SIGN(LEFT(AQ41:AQ81, 1) - RIGHT(AQ41:AQ81, 1)), 1, 0)))</f>
        <v/>
      </c>
    </row>
    <row r="76" spans="1:44" ht="12.75" customHeight="1">
      <c r="A76" s="99" t="s">
        <v>128</v>
      </c>
      <c r="B76" s="95" t="s">
        <v>139</v>
      </c>
      <c r="C76" s="96"/>
      <c r="D76" s="83"/>
      <c r="E76" s="102" t="s">
        <v>28</v>
      </c>
      <c r="F76" s="103" t="str">
        <v/>
      </c>
      <c r="G76" s="102" t="s">
        <v>39</v>
      </c>
      <c r="H76" s="103" t="str">
        <v/>
      </c>
      <c r="I76" s="102" t="s">
        <v>38</v>
      </c>
      <c r="J76" s="103" t="str">
        <v/>
      </c>
      <c r="K76" s="102" t="s">
        <v>33</v>
      </c>
      <c r="L76" s="103" t="str">
        <v/>
      </c>
      <c r="M76" s="102" t="s">
        <v>29</v>
      </c>
      <c r="N76" s="103" t="str">
        <v/>
      </c>
      <c r="O76" s="96" t="s">
        <v>28</v>
      </c>
      <c r="P76" s="103" t="str">
        <v/>
      </c>
      <c r="Q76" s="102" t="s">
        <v>28</v>
      </c>
      <c r="R76" s="103" t="str">
        <v/>
      </c>
      <c r="S76" s="102" t="s">
        <v>39</v>
      </c>
      <c r="T76" s="103" t="str">
        <v/>
      </c>
      <c r="U76" s="102" t="s">
        <v>28</v>
      </c>
      <c r="V76" s="103" t="str">
        <v/>
      </c>
      <c r="W76" s="102" t="s">
        <v>28</v>
      </c>
      <c r="X76" s="103" t="str">
        <v/>
      </c>
      <c r="Y76" s="102" t="s">
        <v>39</v>
      </c>
      <c r="Z76" s="103" t="str">
        <v/>
      </c>
      <c r="AA76" s="96" t="s">
        <v>33</v>
      </c>
      <c r="AB76" s="116" t="str">
        <v/>
      </c>
      <c r="AC76" s="102" t="s">
        <v>28</v>
      </c>
      <c r="AD76" s="103" t="str">
        <v/>
      </c>
      <c r="AE76" s="102" t="s">
        <v>32</v>
      </c>
      <c r="AF76" s="103" t="str">
        <v/>
      </c>
      <c r="AG76" s="102" t="s">
        <v>37</v>
      </c>
      <c r="AH76" s="103" t="str">
        <v/>
      </c>
      <c r="AI76" s="102" t="s">
        <v>38</v>
      </c>
      <c r="AJ76" s="103" t="str">
        <v/>
      </c>
      <c r="AK76" s="102" t="s">
        <v>38</v>
      </c>
      <c r="AL76" s="103" t="str">
        <v/>
      </c>
      <c r="AM76" s="102" t="s">
        <v>38</v>
      </c>
      <c r="AN76" s="103" t="str">
        <v/>
      </c>
      <c r="AO76" s="102" t="s">
        <v>28</v>
      </c>
      <c r="AP76" s="103" t="str">
        <v/>
      </c>
      <c r="AQ76" s="102" t="s">
        <v>28</v>
      </c>
      <c r="AR76" s="10" t="str">
        <v/>
      </c>
    </row>
    <row r="77" spans="1:44" ht="12.75" customHeight="1">
      <c r="A77" s="99" t="s">
        <v>130</v>
      </c>
      <c r="B77" s="95" t="s">
        <v>140</v>
      </c>
      <c r="C77" s="96"/>
      <c r="D77" s="83"/>
      <c r="E77" s="102" t="s">
        <v>39</v>
      </c>
      <c r="F77" s="103" t="str">
        <v/>
      </c>
      <c r="G77" s="102" t="s">
        <v>38</v>
      </c>
      <c r="H77" s="103" t="str">
        <v/>
      </c>
      <c r="I77" s="102" t="s">
        <v>39</v>
      </c>
      <c r="J77" s="103" t="str">
        <v/>
      </c>
      <c r="K77" s="102" t="s">
        <v>38</v>
      </c>
      <c r="L77" s="103" t="str">
        <v/>
      </c>
      <c r="M77" s="102" t="s">
        <v>39</v>
      </c>
      <c r="N77" s="103" t="str">
        <v/>
      </c>
      <c r="O77" s="96" t="s">
        <v>44</v>
      </c>
      <c r="P77" s="103" t="str">
        <v/>
      </c>
      <c r="Q77" s="102" t="s">
        <v>28</v>
      </c>
      <c r="R77" s="103" t="str">
        <v/>
      </c>
      <c r="S77" s="102" t="s">
        <v>33</v>
      </c>
      <c r="T77" s="103" t="str">
        <v/>
      </c>
      <c r="U77" s="102" t="s">
        <v>32</v>
      </c>
      <c r="V77" s="103" t="str">
        <v/>
      </c>
      <c r="W77" s="102" t="s">
        <v>38</v>
      </c>
      <c r="X77" s="103" t="str">
        <v/>
      </c>
      <c r="Y77" s="102" t="s">
        <v>33</v>
      </c>
      <c r="Z77" s="103" t="str">
        <v/>
      </c>
      <c r="AA77" s="96" t="s">
        <v>44</v>
      </c>
      <c r="AB77" s="116" t="str">
        <v/>
      </c>
      <c r="AC77" s="102" t="s">
        <v>38</v>
      </c>
      <c r="AD77" s="103" t="str">
        <v/>
      </c>
      <c r="AE77" s="102" t="s">
        <v>32</v>
      </c>
      <c r="AF77" s="103" t="str">
        <v/>
      </c>
      <c r="AG77" s="102" t="s">
        <v>29</v>
      </c>
      <c r="AH77" s="103" t="str">
        <v/>
      </c>
      <c r="AI77" s="102" t="s">
        <v>33</v>
      </c>
      <c r="AJ77" s="103" t="str">
        <v/>
      </c>
      <c r="AK77" s="102" t="s">
        <v>32</v>
      </c>
      <c r="AL77" s="103" t="str">
        <v/>
      </c>
      <c r="AM77" s="102" t="s">
        <v>33</v>
      </c>
      <c r="AN77" s="103" t="str">
        <v/>
      </c>
      <c r="AO77" s="102" t="s">
        <v>33</v>
      </c>
      <c r="AP77" s="103" t="str">
        <v/>
      </c>
      <c r="AQ77" s="102" t="s">
        <v>28</v>
      </c>
      <c r="AR77" s="10" t="str">
        <v/>
      </c>
    </row>
    <row r="78" spans="1:44" ht="12.75" customHeight="1">
      <c r="A78" s="99" t="s">
        <v>132</v>
      </c>
      <c r="B78" s="95" t="s">
        <v>141</v>
      </c>
      <c r="C78" s="96"/>
      <c r="D78" s="83"/>
      <c r="E78" s="102" t="s">
        <v>36</v>
      </c>
      <c r="F78" s="103" t="str">
        <v/>
      </c>
      <c r="G78" s="102" t="s">
        <v>37</v>
      </c>
      <c r="H78" s="103" t="str">
        <v/>
      </c>
      <c r="I78" s="102" t="s">
        <v>48</v>
      </c>
      <c r="J78" s="103" t="str">
        <v/>
      </c>
      <c r="K78" s="102" t="s">
        <v>37</v>
      </c>
      <c r="L78" s="103" t="str">
        <v/>
      </c>
      <c r="M78" s="102" t="s">
        <v>37</v>
      </c>
      <c r="N78" s="103" t="str">
        <v/>
      </c>
      <c r="O78" s="96" t="s">
        <v>29</v>
      </c>
      <c r="P78" s="103" t="str">
        <v/>
      </c>
      <c r="Q78" s="102" t="s">
        <v>48</v>
      </c>
      <c r="R78" s="103" t="str">
        <v/>
      </c>
      <c r="S78" s="102" t="s">
        <v>37</v>
      </c>
      <c r="T78" s="103" t="str">
        <v/>
      </c>
      <c r="U78" s="102" t="s">
        <v>37</v>
      </c>
      <c r="V78" s="103" t="str">
        <v/>
      </c>
      <c r="W78" s="102" t="s">
        <v>36</v>
      </c>
      <c r="X78" s="103" t="str">
        <v/>
      </c>
      <c r="Y78" s="102" t="s">
        <v>36</v>
      </c>
      <c r="Z78" s="103" t="str">
        <v/>
      </c>
      <c r="AA78" s="96" t="s">
        <v>28</v>
      </c>
      <c r="AB78" s="116" t="str">
        <v/>
      </c>
      <c r="AC78" s="102" t="s">
        <v>44</v>
      </c>
      <c r="AD78" s="103" t="str">
        <v/>
      </c>
      <c r="AE78" s="102" t="s">
        <v>37</v>
      </c>
      <c r="AF78" s="103" t="str">
        <v/>
      </c>
      <c r="AG78" s="102" t="s">
        <v>36</v>
      </c>
      <c r="AH78" s="103" t="str">
        <v/>
      </c>
      <c r="AI78" s="102" t="s">
        <v>30</v>
      </c>
      <c r="AJ78" s="103" t="str">
        <v/>
      </c>
      <c r="AK78" s="102" t="s">
        <v>48</v>
      </c>
      <c r="AL78" s="103" t="str">
        <v/>
      </c>
      <c r="AM78" s="102" t="s">
        <v>36</v>
      </c>
      <c r="AN78" s="103" t="str">
        <v/>
      </c>
      <c r="AO78" s="102" t="s">
        <v>36</v>
      </c>
      <c r="AP78" s="103" t="str">
        <v/>
      </c>
      <c r="AQ78" s="102" t="s">
        <v>44</v>
      </c>
      <c r="AR78" s="10" t="str">
        <v/>
      </c>
    </row>
    <row r="79" spans="1:44" ht="12.75" customHeight="1">
      <c r="A79" s="99" t="s">
        <v>132</v>
      </c>
      <c r="B79" s="95" t="s">
        <v>142</v>
      </c>
      <c r="C79" s="96"/>
      <c r="D79" s="83"/>
      <c r="E79" s="102" t="s">
        <v>44</v>
      </c>
      <c r="F79" s="103" t="str">
        <v/>
      </c>
      <c r="G79" s="102" t="s">
        <v>49</v>
      </c>
      <c r="H79" s="103" t="str">
        <v/>
      </c>
      <c r="I79" s="102" t="s">
        <v>36</v>
      </c>
      <c r="J79" s="103" t="str">
        <v/>
      </c>
      <c r="K79" s="102" t="s">
        <v>36</v>
      </c>
      <c r="L79" s="103" t="str">
        <v/>
      </c>
      <c r="M79" s="102" t="s">
        <v>39</v>
      </c>
      <c r="N79" s="103" t="str">
        <v/>
      </c>
      <c r="O79" s="96" t="s">
        <v>28</v>
      </c>
      <c r="P79" s="103" t="str">
        <v/>
      </c>
      <c r="Q79" s="102" t="s">
        <v>36</v>
      </c>
      <c r="R79" s="103" t="str">
        <v/>
      </c>
      <c r="S79" s="102" t="s">
        <v>44</v>
      </c>
      <c r="T79" s="103" t="str">
        <v/>
      </c>
      <c r="U79" s="102" t="s">
        <v>37</v>
      </c>
      <c r="V79" s="103" t="str">
        <v/>
      </c>
      <c r="W79" s="102" t="s">
        <v>36</v>
      </c>
      <c r="X79" s="103" t="str">
        <v/>
      </c>
      <c r="Y79" s="102" t="s">
        <v>36</v>
      </c>
      <c r="Z79" s="103" t="str">
        <v/>
      </c>
      <c r="AA79" s="96" t="s">
        <v>38</v>
      </c>
      <c r="AB79" s="116" t="str">
        <v/>
      </c>
      <c r="AC79" s="102" t="s">
        <v>48</v>
      </c>
      <c r="AD79" s="103" t="str">
        <v/>
      </c>
      <c r="AE79" s="102" t="s">
        <v>37</v>
      </c>
      <c r="AF79" s="103" t="str">
        <v/>
      </c>
      <c r="AG79" s="102" t="s">
        <v>37</v>
      </c>
      <c r="AH79" s="103" t="str">
        <v/>
      </c>
      <c r="AI79" s="102" t="s">
        <v>44</v>
      </c>
      <c r="AJ79" s="103" t="str">
        <v/>
      </c>
      <c r="AK79" s="102" t="s">
        <v>44</v>
      </c>
      <c r="AL79" s="103" t="str">
        <v/>
      </c>
      <c r="AM79" s="102" t="s">
        <v>36</v>
      </c>
      <c r="AN79" s="103" t="str">
        <v/>
      </c>
      <c r="AO79" s="102" t="s">
        <v>36</v>
      </c>
      <c r="AP79" s="103" t="str">
        <v/>
      </c>
      <c r="AQ79" s="102" t="s">
        <v>36</v>
      </c>
      <c r="AR79" s="10" t="str">
        <v/>
      </c>
    </row>
    <row r="80" spans="1:44" ht="12.75" customHeight="1">
      <c r="A80" s="99" t="s">
        <v>135</v>
      </c>
      <c r="B80" s="95" t="s">
        <v>143</v>
      </c>
      <c r="C80" s="96"/>
      <c r="D80" s="83"/>
      <c r="E80" s="102" t="s">
        <v>45</v>
      </c>
      <c r="F80" s="103" t="str">
        <v/>
      </c>
      <c r="G80" s="102" t="s">
        <v>37</v>
      </c>
      <c r="H80" s="103" t="str">
        <v/>
      </c>
      <c r="I80" s="102" t="s">
        <v>45</v>
      </c>
      <c r="J80" s="103" t="str">
        <v/>
      </c>
      <c r="K80" s="102" t="s">
        <v>48</v>
      </c>
      <c r="L80" s="103" t="str">
        <v/>
      </c>
      <c r="M80" s="102" t="s">
        <v>45</v>
      </c>
      <c r="N80" s="103" t="str">
        <v/>
      </c>
      <c r="O80" s="96" t="s">
        <v>44</v>
      </c>
      <c r="P80" s="103" t="str">
        <v/>
      </c>
      <c r="Q80" s="102" t="s">
        <v>45</v>
      </c>
      <c r="R80" s="103" t="str">
        <v/>
      </c>
      <c r="S80" s="102" t="s">
        <v>100</v>
      </c>
      <c r="T80" s="103" t="str">
        <v/>
      </c>
      <c r="U80" s="102" t="s">
        <v>44</v>
      </c>
      <c r="V80" s="103" t="str">
        <v/>
      </c>
      <c r="W80" s="102" t="s">
        <v>51</v>
      </c>
      <c r="X80" s="103" t="str">
        <v/>
      </c>
      <c r="Y80" s="102" t="s">
        <v>45</v>
      </c>
      <c r="Z80" s="103" t="str">
        <v/>
      </c>
      <c r="AA80" s="96" t="s">
        <v>39</v>
      </c>
      <c r="AB80" s="116" t="str">
        <v/>
      </c>
      <c r="AC80" s="102" t="s">
        <v>44</v>
      </c>
      <c r="AD80" s="103" t="str">
        <v/>
      </c>
      <c r="AE80" s="102" t="s">
        <v>44</v>
      </c>
      <c r="AF80" s="103" t="str">
        <v/>
      </c>
      <c r="AG80" s="102" t="s">
        <v>44</v>
      </c>
      <c r="AH80" s="103" t="str">
        <v/>
      </c>
      <c r="AI80" s="102" t="s">
        <v>37</v>
      </c>
      <c r="AJ80" s="103" t="str">
        <v/>
      </c>
      <c r="AK80" s="102" t="s">
        <v>51</v>
      </c>
      <c r="AL80" s="103" t="str">
        <v/>
      </c>
      <c r="AM80" s="102" t="s">
        <v>45</v>
      </c>
      <c r="AN80" s="103" t="str">
        <v/>
      </c>
      <c r="AO80" s="102" t="s">
        <v>45</v>
      </c>
      <c r="AP80" s="103" t="str">
        <v/>
      </c>
      <c r="AQ80" s="102" t="s">
        <v>44</v>
      </c>
      <c r="AR80" s="10" t="str">
        <v/>
      </c>
    </row>
    <row r="81" spans="1:64" ht="12.75" customHeight="1">
      <c r="A81" s="99" t="s">
        <v>135</v>
      </c>
      <c r="B81" s="95" t="s">
        <v>144</v>
      </c>
      <c r="C81" s="98"/>
      <c r="D81" s="83"/>
      <c r="E81" s="104" t="s">
        <v>38</v>
      </c>
      <c r="F81" s="103" t="str">
        <v/>
      </c>
      <c r="G81" s="104" t="s">
        <v>28</v>
      </c>
      <c r="H81" s="103" t="str">
        <v/>
      </c>
      <c r="I81" s="104" t="s">
        <v>39</v>
      </c>
      <c r="J81" s="103" t="str">
        <v/>
      </c>
      <c r="K81" s="104" t="s">
        <v>36</v>
      </c>
      <c r="L81" s="103" t="str">
        <v/>
      </c>
      <c r="M81" s="104" t="s">
        <v>39</v>
      </c>
      <c r="N81" s="103" t="str">
        <v/>
      </c>
      <c r="O81" s="98" t="s">
        <v>28</v>
      </c>
      <c r="P81" s="103" t="str">
        <v/>
      </c>
      <c r="Q81" s="104" t="s">
        <v>39</v>
      </c>
      <c r="R81" s="103" t="str">
        <v/>
      </c>
      <c r="S81" s="104" t="s">
        <v>31</v>
      </c>
      <c r="T81" s="103" t="str">
        <v/>
      </c>
      <c r="U81" s="104" t="s">
        <v>37</v>
      </c>
      <c r="V81" s="103" t="str">
        <v/>
      </c>
      <c r="W81" s="104" t="s">
        <v>39</v>
      </c>
      <c r="X81" s="103" t="str">
        <v/>
      </c>
      <c r="Y81" s="104" t="s">
        <v>36</v>
      </c>
      <c r="Z81" s="103" t="str">
        <v/>
      </c>
      <c r="AA81" s="98" t="s">
        <v>39</v>
      </c>
      <c r="AB81" s="116" t="str">
        <v/>
      </c>
      <c r="AC81" s="104" t="s">
        <v>39</v>
      </c>
      <c r="AD81" s="103" t="str">
        <v/>
      </c>
      <c r="AE81" s="104" t="s">
        <v>39</v>
      </c>
      <c r="AF81" s="103" t="str">
        <v/>
      </c>
      <c r="AG81" s="104" t="s">
        <v>38</v>
      </c>
      <c r="AH81" s="103" t="str">
        <v/>
      </c>
      <c r="AI81" s="104" t="s">
        <v>36</v>
      </c>
      <c r="AJ81" s="103" t="str">
        <v/>
      </c>
      <c r="AK81" s="104" t="s">
        <v>31</v>
      </c>
      <c r="AL81" s="103" t="str">
        <v/>
      </c>
      <c r="AM81" s="104" t="s">
        <v>31</v>
      </c>
      <c r="AN81" s="103" t="str">
        <v/>
      </c>
      <c r="AO81" s="104" t="s">
        <v>36</v>
      </c>
      <c r="AP81" s="103" t="str">
        <v/>
      </c>
      <c r="AQ81" s="104" t="s">
        <v>32</v>
      </c>
      <c r="AR81" s="10" t="str">
        <v/>
      </c>
    </row>
    <row r="82" spans="1:64" ht="12.75" customHeight="1">
      <c r="A82" s="76" t="s">
        <v>145</v>
      </c>
      <c r="B82" s="77"/>
      <c r="C82" s="77"/>
      <c r="D82" s="78"/>
      <c r="E82" s="106"/>
      <c r="F82" s="107" t="str">
        <f t="array" ref="F82:F88">IF(ISBLANK($C$6:$C$46), "", IF(EXACT($C$6:$C$46, E48:E88), 3, IF(SIGN(LEFT($C$6:$C$46, 1) - RIGHT($C$6:$C$46, 1)) = SIGN(LEFT(E48:E88, 1) - RIGHT(E48:E88, 1)), 1, 0)))</f>
        <v/>
      </c>
      <c r="G82" s="108"/>
      <c r="H82" s="109" t="str">
        <f t="array" ref="H82:H88">IF(ISBLANK($C$6:$C$46), "", IF(EXACT($C$6:$C$46, G48:G88), 3, IF(SIGN(LEFT($C$6:$C$46, 1) - RIGHT($C$6:$C$46, 1)) = SIGN(LEFT(G48:G88, 1) - RIGHT(G48:G88, 1)), 1, 0)))</f>
        <v/>
      </c>
      <c r="I82" s="108"/>
      <c r="J82" s="109" t="str">
        <f t="array" ref="J82:J88">IF(ISBLANK($C$6:$C$46), "", IF(EXACT($C$6:$C$46, I48:I88), 3, IF(SIGN(LEFT($C$6:$C$46, 1) - RIGHT($C$6:$C$46, 1)) = SIGN(LEFT(I48:I88, 1) - RIGHT(I48:I88, 1)), 1, 0)))</f>
        <v/>
      </c>
      <c r="K82" s="108"/>
      <c r="L82" s="109" t="str">
        <f t="array" ref="L82:L88">IF(ISBLANK($C$6:$C$46), "", IF(EXACT($C$6:$C$46, K48:K88), 3, IF(SIGN(LEFT($C$6:$C$46, 1) - RIGHT($C$6:$C$46, 1)) = SIGN(LEFT(K48:K88, 1) - RIGHT(K48:K88, 1)), 1, 0)))</f>
        <v/>
      </c>
      <c r="M82" s="108"/>
      <c r="N82" s="109" t="str">
        <f t="array" ref="N82:N88">IF(ISBLANK($C$6:$C$46), "", IF(EXACT($C$6:$C$46, M48:M88), 3, IF(SIGN(LEFT($C$6:$C$46, 1) - RIGHT($C$6:$C$46, 1)) = SIGN(LEFT(M48:M88, 1) - RIGHT(M48:M88, 1)), 1, 0)))</f>
        <v/>
      </c>
      <c r="O82" s="111"/>
      <c r="P82" s="109" t="str">
        <f t="array" ref="P82:P88">IF(ISBLANK($C$6:$C$46), "", IF(EXACT($C$6:$C$46, O48:O88), 3, IF(SIGN(LEFT($C$6:$C$46, 1) - RIGHT($C$6:$C$46, 1)) = SIGN(LEFT(O48:O88, 1) - RIGHT(O48:O88, 1)), 1, 0)))</f>
        <v/>
      </c>
      <c r="Q82" s="108"/>
      <c r="R82" s="109" t="str">
        <f t="array" ref="R82:R88">IF(ISBLANK($C$6:$C$46), "", IF(EXACT($C$6:$C$46, Q48:Q88), 3, IF(SIGN(LEFT($C$6:$C$46, 1) - RIGHT($C$6:$C$46, 1)) = SIGN(LEFT(Q48:Q88, 1) - RIGHT(Q48:Q88, 1)), 1, 0)))</f>
        <v/>
      </c>
      <c r="S82" s="108"/>
      <c r="T82" s="109" t="str">
        <f t="array" ref="T82:T88">IF(ISBLANK($C$6:$C$46), "", IF(EXACT($C$6:$C$46, S48:S88), 3, IF(SIGN(LEFT($C$6:$C$46, 1) - RIGHT($C$6:$C$46, 1)) = SIGN(LEFT(S48:S88, 1) - RIGHT(S48:S88, 1)), 1, 0)))</f>
        <v/>
      </c>
      <c r="U82" s="108"/>
      <c r="V82" s="109" t="str">
        <f t="array" ref="V82:V88">IF(ISBLANK($C$6:$C$46), "", IF(EXACT($C$6:$C$46, U48:U88), 3, IF(SIGN(LEFT($C$6:$C$46, 1) - RIGHT($C$6:$C$46, 1)) = SIGN(LEFT(U48:U88, 1) - RIGHT(U48:U88, 1)), 1, 0)))</f>
        <v/>
      </c>
      <c r="W82" s="108"/>
      <c r="X82" s="109" t="str">
        <f t="array" ref="X82:X88">IF(ISBLANK($C$6:$C$46), "", IF(EXACT($C$6:$C$46, W48:W88), 3, IF(SIGN(LEFT($C$6:$C$46, 1) - RIGHT($C$6:$C$46, 1)) = SIGN(LEFT(W48:W88, 1) - RIGHT(W48:W88, 1)), 1, 0)))</f>
        <v/>
      </c>
      <c r="Y82" s="108"/>
      <c r="Z82" s="109" t="str">
        <f t="array" ref="Z82:Z88">IF(ISBLANK($C$6:$C$46), "", IF(EXACT($C$6:$C$46, Y48:Y88), 3, IF(SIGN(LEFT($C$6:$C$46, 1) - RIGHT($C$6:$C$46, 1)) = SIGN(LEFT(Y48:Y88, 1) - RIGHT(Y48:Y88, 1)), 1, 0)))</f>
        <v/>
      </c>
      <c r="AA82" s="111"/>
      <c r="AB82" s="118" t="str">
        <f t="array" ref="AB82:AB88">IF(ISBLANK($C$6:$C$46), "", IF(EXACT($C$6:$C$46, AA48:AA88), 3, IF(SIGN(LEFT($C$6:$C$46, 1) - RIGHT($C$6:$C$46, 1)) = SIGN(LEFT(AA48:AA88, 1) - RIGHT(AA48:AA88, 1)), 1, 0)))</f>
        <v/>
      </c>
      <c r="AC82" s="108"/>
      <c r="AD82" s="109" t="str">
        <f t="array" ref="AD82:AD88">IF(ISBLANK($C$6:$C$46), "", IF(EXACT($C$6:$C$46, AC48:AC88), 3, IF(SIGN(LEFT($C$6:$C$46, 1) - RIGHT($C$6:$C$46, 1)) = SIGN(LEFT(AC48:AC88, 1) - RIGHT(AC48:AC88, 1)), 1, 0)))</f>
        <v/>
      </c>
      <c r="AE82" s="108"/>
      <c r="AF82" s="109" t="str">
        <f t="array" ref="AF82:AF88">IF(ISBLANK($C$6:$C$46), "", IF(EXACT($C$6:$C$46, AE48:AE88), 3, IF(SIGN(LEFT($C$6:$C$46, 1) - RIGHT($C$6:$C$46, 1)) = SIGN(LEFT(AE48:AE88, 1) - RIGHT(AE48:AE88, 1)), 1, 0)))</f>
        <v/>
      </c>
      <c r="AG82" s="108"/>
      <c r="AH82" s="109" t="str">
        <f t="array" ref="AH82:AH88">IF(ISBLANK($C$6:$C$46), "", IF(EXACT($C$6:$C$46, AG48:AG88), 3, IF(SIGN(LEFT($C$6:$C$46, 1) - RIGHT($C$6:$C$46, 1)) = SIGN(LEFT(AG48:AG88, 1) - RIGHT(AG48:AG88, 1)), 1, 0)))</f>
        <v/>
      </c>
      <c r="AI82" s="108"/>
      <c r="AJ82" s="109" t="str">
        <f t="array" ref="AJ82:AJ88">IF(ISBLANK($C$6:$C$46), "", IF(EXACT($C$6:$C$46, AI48:AI88), 3, IF(SIGN(LEFT($C$6:$C$46, 1) - RIGHT($C$6:$C$46, 1)) = SIGN(LEFT(AI48:AI88, 1) - RIGHT(AI48:AI88, 1)), 1, 0)))</f>
        <v/>
      </c>
      <c r="AK82" s="108"/>
      <c r="AL82" s="109" t="str">
        <f t="array" ref="AL82:AL88">IF(ISBLANK($C$6:$C$46), "", IF(EXACT($C$6:$C$46, AK48:AK88), 3, IF(SIGN(LEFT($C$6:$C$46, 1) - RIGHT($C$6:$C$46, 1)) = SIGN(LEFT(AK48:AK88, 1) - RIGHT(AK48:AK88, 1)), 1, 0)))</f>
        <v/>
      </c>
      <c r="AM82" s="108"/>
      <c r="AN82" s="109" t="str">
        <f t="array" ref="AN82:AN88">IF(ISBLANK($C$6:$C$46), "", IF(EXACT($C$6:$C$46, AM48:AM88), 3, IF(SIGN(LEFT($C$6:$C$46, 1) - RIGHT($C$6:$C$46, 1)) = SIGN(LEFT(AM48:AM88, 1) - RIGHT(AM48:AM88, 1)), 1, 0)))</f>
        <v/>
      </c>
      <c r="AO82" s="108"/>
      <c r="AP82" s="109" t="str">
        <f t="array" ref="AP82:AP88">IF(ISBLANK($C$6:$C$46), "", IF(EXACT($C$6:$C$46, AO48:AO88), 3, IF(SIGN(LEFT($C$6:$C$46, 1) - RIGHT($C$6:$C$46, 1)) = SIGN(LEFT(AO48:AO88, 1) - RIGHT(AO48:AO88, 1)), 1, 0)))</f>
        <v/>
      </c>
      <c r="AQ82" s="108"/>
      <c r="AR82" s="81" t="str">
        <f t="array" ref="AR82:AR88">IF(ISBLANK($C$6:$C$46), "", IF(EXACT($C$6:$C$46, AQ48:AQ88), 3, IF(SIGN(LEFT($C$6:$C$46, 1) - RIGHT($C$6:$C$46, 1)) = SIGN(LEFT(AQ48:AQ88, 1) - RIGHT(AQ48:AQ88, 1)), 1, 0)))</f>
        <v/>
      </c>
    </row>
    <row r="83" spans="1:64" ht="12.75" customHeight="1">
      <c r="A83" s="99" t="s">
        <v>146</v>
      </c>
      <c r="B83" s="95" t="s">
        <v>147</v>
      </c>
      <c r="C83" s="96"/>
      <c r="D83" s="83"/>
      <c r="E83" s="102" t="s">
        <v>28</v>
      </c>
      <c r="F83" s="103" t="str">
        <v/>
      </c>
      <c r="G83" s="102" t="s">
        <v>39</v>
      </c>
      <c r="H83" s="103" t="str">
        <v/>
      </c>
      <c r="I83" s="102" t="s">
        <v>38</v>
      </c>
      <c r="J83" s="103" t="str">
        <v/>
      </c>
      <c r="K83" s="102" t="s">
        <v>33</v>
      </c>
      <c r="L83" s="103" t="str">
        <v/>
      </c>
      <c r="M83" s="102" t="s">
        <v>29</v>
      </c>
      <c r="N83" s="103" t="str">
        <v/>
      </c>
      <c r="O83" s="96" t="s">
        <v>38</v>
      </c>
      <c r="P83" s="103" t="str">
        <v/>
      </c>
      <c r="Q83" s="102" t="s">
        <v>28</v>
      </c>
      <c r="R83" s="103" t="str">
        <v/>
      </c>
      <c r="S83" s="102" t="s">
        <v>39</v>
      </c>
      <c r="T83" s="103" t="str">
        <v/>
      </c>
      <c r="U83" s="102" t="s">
        <v>28</v>
      </c>
      <c r="V83" s="103" t="str">
        <v/>
      </c>
      <c r="W83" s="102" t="s">
        <v>28</v>
      </c>
      <c r="X83" s="103" t="str">
        <v/>
      </c>
      <c r="Y83" s="102" t="s">
        <v>39</v>
      </c>
      <c r="Z83" s="103" t="str">
        <v/>
      </c>
      <c r="AA83" s="96" t="s">
        <v>38</v>
      </c>
      <c r="AB83" s="116" t="str">
        <v/>
      </c>
      <c r="AC83" s="102" t="s">
        <v>28</v>
      </c>
      <c r="AD83" s="103" t="str">
        <v/>
      </c>
      <c r="AE83" s="102" t="s">
        <v>32</v>
      </c>
      <c r="AF83" s="103" t="str">
        <v/>
      </c>
      <c r="AG83" s="102" t="s">
        <v>37</v>
      </c>
      <c r="AH83" s="103" t="str">
        <v/>
      </c>
      <c r="AI83" s="102" t="s">
        <v>38</v>
      </c>
      <c r="AJ83" s="103" t="str">
        <v/>
      </c>
      <c r="AK83" s="102" t="s">
        <v>38</v>
      </c>
      <c r="AL83" s="103" t="str">
        <v/>
      </c>
      <c r="AM83" s="102" t="s">
        <v>38</v>
      </c>
      <c r="AN83" s="103" t="str">
        <v/>
      </c>
      <c r="AO83" s="102" t="s">
        <v>28</v>
      </c>
      <c r="AP83" s="103" t="str">
        <v/>
      </c>
      <c r="AQ83" s="102" t="s">
        <v>28</v>
      </c>
      <c r="AR83" s="10" t="str">
        <v/>
      </c>
    </row>
    <row r="84" spans="1:64" ht="12.75" customHeight="1">
      <c r="A84" s="99" t="s">
        <v>148</v>
      </c>
      <c r="B84" s="95" t="s">
        <v>149</v>
      </c>
      <c r="C84" s="96"/>
      <c r="D84" s="83"/>
      <c r="E84" s="102" t="s">
        <v>39</v>
      </c>
      <c r="F84" s="103" t="str">
        <v/>
      </c>
      <c r="G84" s="102" t="s">
        <v>38</v>
      </c>
      <c r="H84" s="103" t="str">
        <v/>
      </c>
      <c r="I84" s="102" t="s">
        <v>39</v>
      </c>
      <c r="J84" s="103" t="str">
        <v/>
      </c>
      <c r="K84" s="102" t="s">
        <v>38</v>
      </c>
      <c r="L84" s="103" t="str">
        <v/>
      </c>
      <c r="M84" s="102" t="s">
        <v>39</v>
      </c>
      <c r="N84" s="103" t="str">
        <v/>
      </c>
      <c r="O84" s="96" t="s">
        <v>28</v>
      </c>
      <c r="P84" s="103" t="str">
        <v/>
      </c>
      <c r="Q84" s="102" t="s">
        <v>28</v>
      </c>
      <c r="R84" s="103" t="str">
        <v/>
      </c>
      <c r="S84" s="102" t="s">
        <v>33</v>
      </c>
      <c r="T84" s="103" t="str">
        <v/>
      </c>
      <c r="U84" s="102" t="s">
        <v>32</v>
      </c>
      <c r="V84" s="103" t="str">
        <v/>
      </c>
      <c r="W84" s="102" t="s">
        <v>38</v>
      </c>
      <c r="X84" s="103" t="str">
        <v/>
      </c>
      <c r="Y84" s="102" t="s">
        <v>33</v>
      </c>
      <c r="Z84" s="103" t="str">
        <v/>
      </c>
      <c r="AA84" s="96" t="s">
        <v>28</v>
      </c>
      <c r="AB84" s="116" t="str">
        <v/>
      </c>
      <c r="AC84" s="102" t="s">
        <v>38</v>
      </c>
      <c r="AD84" s="103" t="str">
        <v/>
      </c>
      <c r="AE84" s="102" t="s">
        <v>32</v>
      </c>
      <c r="AF84" s="103" t="str">
        <v/>
      </c>
      <c r="AG84" s="102" t="s">
        <v>29</v>
      </c>
      <c r="AH84" s="103" t="str">
        <v/>
      </c>
      <c r="AI84" s="102" t="s">
        <v>33</v>
      </c>
      <c r="AJ84" s="103" t="str">
        <v/>
      </c>
      <c r="AK84" s="102" t="s">
        <v>32</v>
      </c>
      <c r="AL84" s="103" t="str">
        <v/>
      </c>
      <c r="AM84" s="102" t="s">
        <v>33</v>
      </c>
      <c r="AN84" s="103" t="str">
        <v/>
      </c>
      <c r="AO84" s="102" t="s">
        <v>33</v>
      </c>
      <c r="AP84" s="103" t="str">
        <v/>
      </c>
      <c r="AQ84" s="102" t="s">
        <v>28</v>
      </c>
      <c r="AR84" s="10" t="str">
        <v/>
      </c>
    </row>
    <row r="85" spans="1:64" ht="12.75" customHeight="1">
      <c r="A85" s="99" t="s">
        <v>150</v>
      </c>
      <c r="B85" s="95" t="s">
        <v>151</v>
      </c>
      <c r="C85" s="96"/>
      <c r="D85" s="83"/>
      <c r="E85" s="102" t="s">
        <v>36</v>
      </c>
      <c r="F85" s="103" t="str">
        <v/>
      </c>
      <c r="G85" s="102" t="s">
        <v>37</v>
      </c>
      <c r="H85" s="103" t="str">
        <v/>
      </c>
      <c r="I85" s="102" t="s">
        <v>48</v>
      </c>
      <c r="J85" s="103" t="str">
        <v/>
      </c>
      <c r="K85" s="102" t="s">
        <v>37</v>
      </c>
      <c r="L85" s="103" t="str">
        <v/>
      </c>
      <c r="M85" s="102" t="s">
        <v>37</v>
      </c>
      <c r="N85" s="103" t="str">
        <v/>
      </c>
      <c r="O85" s="96" t="s">
        <v>28</v>
      </c>
      <c r="P85" s="103" t="str">
        <v/>
      </c>
      <c r="Q85" s="102" t="s">
        <v>48</v>
      </c>
      <c r="R85" s="103" t="str">
        <v/>
      </c>
      <c r="S85" s="102" t="s">
        <v>37</v>
      </c>
      <c r="T85" s="103" t="str">
        <v/>
      </c>
      <c r="U85" s="102" t="s">
        <v>37</v>
      </c>
      <c r="V85" s="103" t="str">
        <v/>
      </c>
      <c r="W85" s="102" t="s">
        <v>36</v>
      </c>
      <c r="X85" s="103" t="str">
        <v/>
      </c>
      <c r="Y85" s="102" t="s">
        <v>36</v>
      </c>
      <c r="Z85" s="103" t="str">
        <v/>
      </c>
      <c r="AA85" s="96" t="s">
        <v>28</v>
      </c>
      <c r="AB85" s="116" t="str">
        <v/>
      </c>
      <c r="AC85" s="102" t="s">
        <v>44</v>
      </c>
      <c r="AD85" s="103" t="str">
        <v/>
      </c>
      <c r="AE85" s="102" t="s">
        <v>37</v>
      </c>
      <c r="AF85" s="103" t="str">
        <v/>
      </c>
      <c r="AG85" s="102" t="s">
        <v>36</v>
      </c>
      <c r="AH85" s="103" t="str">
        <v/>
      </c>
      <c r="AI85" s="102" t="s">
        <v>30</v>
      </c>
      <c r="AJ85" s="103" t="str">
        <v/>
      </c>
      <c r="AK85" s="102" t="s">
        <v>48</v>
      </c>
      <c r="AL85" s="103" t="str">
        <v/>
      </c>
      <c r="AM85" s="102" t="s">
        <v>36</v>
      </c>
      <c r="AN85" s="103" t="str">
        <v/>
      </c>
      <c r="AO85" s="102" t="s">
        <v>36</v>
      </c>
      <c r="AP85" s="103" t="str">
        <v/>
      </c>
      <c r="AQ85" s="102" t="s">
        <v>44</v>
      </c>
      <c r="AR85" s="10" t="str">
        <v/>
      </c>
    </row>
    <row r="86" spans="1:64" ht="12.75" customHeight="1">
      <c r="A86" s="99" t="s">
        <v>150</v>
      </c>
      <c r="B86" s="95" t="s">
        <v>152</v>
      </c>
      <c r="C86" s="96"/>
      <c r="D86" s="83"/>
      <c r="E86" s="102" t="s">
        <v>44</v>
      </c>
      <c r="F86" s="103" t="str">
        <v/>
      </c>
      <c r="G86" s="102" t="s">
        <v>49</v>
      </c>
      <c r="H86" s="103" t="str">
        <v/>
      </c>
      <c r="I86" s="102" t="s">
        <v>36</v>
      </c>
      <c r="J86" s="103" t="str">
        <v/>
      </c>
      <c r="K86" s="102" t="s">
        <v>36</v>
      </c>
      <c r="L86" s="103" t="str">
        <v/>
      </c>
      <c r="M86" s="102" t="s">
        <v>39</v>
      </c>
      <c r="N86" s="103" t="str">
        <v/>
      </c>
      <c r="O86" s="96" t="s">
        <v>44</v>
      </c>
      <c r="P86" s="103" t="str">
        <v/>
      </c>
      <c r="Q86" s="102" t="s">
        <v>36</v>
      </c>
      <c r="R86" s="103" t="str">
        <v/>
      </c>
      <c r="S86" s="102" t="s">
        <v>44</v>
      </c>
      <c r="T86" s="103" t="str">
        <v/>
      </c>
      <c r="U86" s="102" t="s">
        <v>37</v>
      </c>
      <c r="V86" s="103" t="str">
        <v/>
      </c>
      <c r="W86" s="102" t="s">
        <v>36</v>
      </c>
      <c r="X86" s="103" t="str">
        <v/>
      </c>
      <c r="Y86" s="102" t="s">
        <v>36</v>
      </c>
      <c r="Z86" s="103" t="str">
        <v/>
      </c>
      <c r="AA86" s="96" t="s">
        <v>44</v>
      </c>
      <c r="AB86" s="116" t="str">
        <v/>
      </c>
      <c r="AC86" s="102" t="s">
        <v>48</v>
      </c>
      <c r="AD86" s="103" t="str">
        <v/>
      </c>
      <c r="AE86" s="102" t="s">
        <v>37</v>
      </c>
      <c r="AF86" s="103" t="str">
        <v/>
      </c>
      <c r="AG86" s="102" t="s">
        <v>37</v>
      </c>
      <c r="AH86" s="103" t="str">
        <v/>
      </c>
      <c r="AI86" s="102" t="s">
        <v>44</v>
      </c>
      <c r="AJ86" s="103" t="str">
        <v/>
      </c>
      <c r="AK86" s="102" t="s">
        <v>44</v>
      </c>
      <c r="AL86" s="103" t="str">
        <v/>
      </c>
      <c r="AM86" s="102" t="s">
        <v>36</v>
      </c>
      <c r="AN86" s="103" t="str">
        <v/>
      </c>
      <c r="AO86" s="102" t="s">
        <v>36</v>
      </c>
      <c r="AP86" s="103" t="str">
        <v/>
      </c>
      <c r="AQ86" s="102" t="s">
        <v>36</v>
      </c>
      <c r="AR86" s="10" t="str">
        <v/>
      </c>
    </row>
    <row r="87" spans="1:64" ht="12.75" customHeight="1">
      <c r="A87" s="99" t="s">
        <v>135</v>
      </c>
      <c r="B87" s="95" t="s">
        <v>153</v>
      </c>
      <c r="C87" s="96"/>
      <c r="D87" s="83"/>
      <c r="E87" s="102" t="s">
        <v>45</v>
      </c>
      <c r="F87" s="103" t="str">
        <v/>
      </c>
      <c r="G87" s="102" t="s">
        <v>37</v>
      </c>
      <c r="H87" s="103" t="str">
        <v/>
      </c>
      <c r="I87" s="102" t="s">
        <v>45</v>
      </c>
      <c r="J87" s="103" t="str">
        <v/>
      </c>
      <c r="K87" s="102" t="s">
        <v>48</v>
      </c>
      <c r="L87" s="103" t="str">
        <v/>
      </c>
      <c r="M87" s="102" t="s">
        <v>45</v>
      </c>
      <c r="N87" s="103" t="str">
        <v/>
      </c>
      <c r="O87" s="96" t="s">
        <v>44</v>
      </c>
      <c r="P87" s="103" t="str">
        <v/>
      </c>
      <c r="Q87" s="102" t="s">
        <v>45</v>
      </c>
      <c r="R87" s="103" t="str">
        <v/>
      </c>
      <c r="S87" s="102" t="s">
        <v>100</v>
      </c>
      <c r="T87" s="103" t="str">
        <v/>
      </c>
      <c r="U87" s="102" t="s">
        <v>44</v>
      </c>
      <c r="V87" s="103" t="str">
        <v/>
      </c>
      <c r="W87" s="102" t="s">
        <v>51</v>
      </c>
      <c r="X87" s="103" t="str">
        <v/>
      </c>
      <c r="Y87" s="102" t="s">
        <v>45</v>
      </c>
      <c r="Z87" s="103" t="str">
        <v/>
      </c>
      <c r="AA87" s="96" t="s">
        <v>45</v>
      </c>
      <c r="AB87" s="116" t="str">
        <v/>
      </c>
      <c r="AC87" s="102" t="s">
        <v>44</v>
      </c>
      <c r="AD87" s="103" t="str">
        <v/>
      </c>
      <c r="AE87" s="102" t="s">
        <v>44</v>
      </c>
      <c r="AF87" s="103" t="str">
        <v/>
      </c>
      <c r="AG87" s="102" t="s">
        <v>44</v>
      </c>
      <c r="AH87" s="103" t="str">
        <v/>
      </c>
      <c r="AI87" s="102" t="s">
        <v>37</v>
      </c>
      <c r="AJ87" s="103" t="str">
        <v/>
      </c>
      <c r="AK87" s="102" t="s">
        <v>51</v>
      </c>
      <c r="AL87" s="103" t="str">
        <v/>
      </c>
      <c r="AM87" s="102" t="s">
        <v>45</v>
      </c>
      <c r="AN87" s="103" t="str">
        <v/>
      </c>
      <c r="AO87" s="102" t="s">
        <v>45</v>
      </c>
      <c r="AP87" s="103" t="str">
        <v/>
      </c>
      <c r="AQ87" s="102" t="s">
        <v>44</v>
      </c>
      <c r="AR87" s="10" t="str">
        <v/>
      </c>
    </row>
    <row r="88" spans="1:64" ht="12.75" customHeight="1">
      <c r="A88" s="99" t="s">
        <v>135</v>
      </c>
      <c r="B88" s="95" t="s">
        <v>154</v>
      </c>
      <c r="C88" s="98"/>
      <c r="D88" s="83"/>
      <c r="E88" s="104" t="s">
        <v>38</v>
      </c>
      <c r="F88" s="103" t="str">
        <v/>
      </c>
      <c r="G88" s="104" t="s">
        <v>28</v>
      </c>
      <c r="H88" s="103" t="str">
        <v/>
      </c>
      <c r="I88" s="104" t="s">
        <v>39</v>
      </c>
      <c r="J88" s="103" t="str">
        <v/>
      </c>
      <c r="K88" s="104" t="s">
        <v>36</v>
      </c>
      <c r="L88" s="103" t="str">
        <v/>
      </c>
      <c r="M88" s="104" t="s">
        <v>39</v>
      </c>
      <c r="N88" s="103" t="str">
        <v/>
      </c>
      <c r="O88" s="98" t="s">
        <v>28</v>
      </c>
      <c r="P88" s="103" t="str">
        <v/>
      </c>
      <c r="Q88" s="104" t="s">
        <v>39</v>
      </c>
      <c r="R88" s="103" t="str">
        <v/>
      </c>
      <c r="S88" s="104" t="s">
        <v>31</v>
      </c>
      <c r="T88" s="103" t="str">
        <v/>
      </c>
      <c r="U88" s="104" t="s">
        <v>37</v>
      </c>
      <c r="V88" s="103" t="str">
        <v/>
      </c>
      <c r="W88" s="104" t="s">
        <v>39</v>
      </c>
      <c r="X88" s="103" t="str">
        <v/>
      </c>
      <c r="Y88" s="104" t="s">
        <v>36</v>
      </c>
      <c r="Z88" s="103" t="str">
        <v/>
      </c>
      <c r="AA88" s="98" t="s">
        <v>38</v>
      </c>
      <c r="AB88" s="116" t="str">
        <v/>
      </c>
      <c r="AC88" s="104" t="s">
        <v>39</v>
      </c>
      <c r="AD88" s="103" t="str">
        <v/>
      </c>
      <c r="AE88" s="104" t="s">
        <v>39</v>
      </c>
      <c r="AF88" s="103" t="str">
        <v/>
      </c>
      <c r="AG88" s="104" t="s">
        <v>38</v>
      </c>
      <c r="AH88" s="103" t="str">
        <v/>
      </c>
      <c r="AI88" s="104" t="s">
        <v>36</v>
      </c>
      <c r="AJ88" s="103" t="str">
        <v/>
      </c>
      <c r="AK88" s="104" t="s">
        <v>31</v>
      </c>
      <c r="AL88" s="103" t="str">
        <v/>
      </c>
      <c r="AM88" s="104" t="s">
        <v>31</v>
      </c>
      <c r="AN88" s="103" t="str">
        <v/>
      </c>
      <c r="AO88" s="104" t="s">
        <v>36</v>
      </c>
      <c r="AP88" s="103" t="str">
        <v/>
      </c>
      <c r="AQ88" s="104" t="s">
        <v>32</v>
      </c>
      <c r="AR88" s="10" t="str">
        <v/>
      </c>
    </row>
    <row r="89" spans="1:64" ht="54" customHeight="1">
      <c r="A89" s="130" t="s">
        <v>155</v>
      </c>
      <c r="B89" s="131"/>
      <c r="C89" s="13"/>
      <c r="D89" s="84"/>
      <c r="E89" s="14"/>
      <c r="F89" s="15"/>
      <c r="G89" s="14"/>
      <c r="H89" s="15"/>
      <c r="I89" s="14"/>
      <c r="J89" s="15"/>
      <c r="K89" s="14"/>
      <c r="L89" s="15"/>
      <c r="M89" s="14"/>
      <c r="N89" s="15"/>
      <c r="O89" s="14" t="s">
        <v>156</v>
      </c>
      <c r="P89" s="15"/>
      <c r="Q89" s="14"/>
      <c r="R89" s="15"/>
      <c r="S89" s="14"/>
      <c r="T89" s="15"/>
      <c r="U89" s="14"/>
      <c r="V89" s="15"/>
      <c r="W89" s="14"/>
      <c r="X89" s="15"/>
      <c r="Y89" s="14"/>
      <c r="Z89" s="15"/>
      <c r="AA89" s="14" t="s">
        <v>157</v>
      </c>
      <c r="AB89" s="15"/>
      <c r="AC89" s="14"/>
      <c r="AD89" s="15"/>
      <c r="AE89" s="14"/>
      <c r="AF89" s="15"/>
      <c r="AG89" s="14"/>
      <c r="AH89" s="15"/>
      <c r="AI89" s="14"/>
      <c r="AJ89" s="15"/>
      <c r="AK89" s="14"/>
      <c r="AL89" s="15"/>
      <c r="AM89" s="14"/>
      <c r="AN89" s="15"/>
      <c r="AO89" s="14"/>
      <c r="AP89" s="15"/>
      <c r="AQ89" s="14"/>
      <c r="AR89" s="15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</row>
    <row r="90" spans="1:64" ht="30" customHeight="1">
      <c r="A90" s="132" t="s">
        <v>158</v>
      </c>
      <c r="B90" s="133"/>
      <c r="C90" s="17"/>
      <c r="D90" s="18"/>
      <c r="E90" s="126">
        <f>SUM(F6:F89)</f>
        <v>0</v>
      </c>
      <c r="F90" s="127"/>
      <c r="G90" s="126">
        <f>SUM(H6:H89)</f>
        <v>0</v>
      </c>
      <c r="H90" s="127"/>
      <c r="I90" s="126">
        <f>SUM(J6:J89)</f>
        <v>0</v>
      </c>
      <c r="J90" s="127"/>
      <c r="K90" s="126">
        <f>SUM(L6:L89)</f>
        <v>0</v>
      </c>
      <c r="L90" s="127"/>
      <c r="M90" s="126">
        <f>SUM(N6:N89)</f>
        <v>0</v>
      </c>
      <c r="N90" s="127"/>
      <c r="O90" s="126">
        <f>SUM(P6:P89)</f>
        <v>0</v>
      </c>
      <c r="P90" s="127"/>
      <c r="Q90" s="126">
        <f>SUM(R6:R89)</f>
        <v>0</v>
      </c>
      <c r="R90" s="127"/>
      <c r="S90" s="126">
        <f>SUM(T6:T89)</f>
        <v>0</v>
      </c>
      <c r="T90" s="127"/>
      <c r="U90" s="126">
        <f>SUM(V6:V89)</f>
        <v>0</v>
      </c>
      <c r="V90" s="127"/>
      <c r="W90" s="126">
        <f>SUM(X6:X89)</f>
        <v>0</v>
      </c>
      <c r="X90" s="127"/>
      <c r="Y90" s="126">
        <f>SUM(Z6:Z89)</f>
        <v>0</v>
      </c>
      <c r="Z90" s="127"/>
      <c r="AA90" s="126">
        <f>SUM(AB6:AB89)</f>
        <v>0</v>
      </c>
      <c r="AB90" s="127"/>
      <c r="AC90" s="126">
        <f>SUM(AD6:AD89)</f>
        <v>0</v>
      </c>
      <c r="AD90" s="127"/>
      <c r="AE90" s="126">
        <f>SUM(AF6:AF89)</f>
        <v>0</v>
      </c>
      <c r="AF90" s="127"/>
      <c r="AG90" s="126">
        <f>SUM(AH6:AH89)</f>
        <v>0</v>
      </c>
      <c r="AH90" s="127"/>
      <c r="AI90" s="126">
        <f>SUM(AJ6:AJ89)</f>
        <v>0</v>
      </c>
      <c r="AJ90" s="127"/>
      <c r="AK90" s="126">
        <f>SUM(AL6:AL89)</f>
        <v>0</v>
      </c>
      <c r="AL90" s="127"/>
      <c r="AM90" s="126">
        <f>SUM(AN6:AN89)</f>
        <v>0</v>
      </c>
      <c r="AN90" s="127"/>
      <c r="AO90" s="126">
        <f>SUM(AP6:AP89)</f>
        <v>0</v>
      </c>
      <c r="AP90" s="127"/>
      <c r="AQ90" s="126">
        <f>SUM(AR6:AR89)</f>
        <v>0</v>
      </c>
      <c r="AR90" s="127"/>
    </row>
    <row r="91" spans="1:64" ht="30" customHeight="1">
      <c r="A91" s="136" t="s">
        <v>159</v>
      </c>
      <c r="B91" s="137"/>
      <c r="C91" s="19"/>
      <c r="D91" s="78"/>
      <c r="E91" s="20"/>
      <c r="F91" s="21"/>
      <c r="G91" s="20"/>
      <c r="H91" s="21"/>
      <c r="I91" s="20"/>
      <c r="J91" s="21"/>
      <c r="K91" s="20"/>
      <c r="L91" s="21"/>
      <c r="M91" s="20"/>
      <c r="N91" s="21"/>
      <c r="O91" s="20"/>
      <c r="P91" s="21"/>
      <c r="Q91" s="20"/>
      <c r="R91" s="21"/>
      <c r="S91" s="20"/>
      <c r="T91" s="21"/>
      <c r="U91" s="20"/>
      <c r="V91" s="21"/>
      <c r="W91" s="20"/>
      <c r="X91" s="21"/>
      <c r="Y91" s="20"/>
      <c r="Z91" s="21"/>
      <c r="AA91" s="20"/>
      <c r="AB91" s="21"/>
      <c r="AC91" s="20"/>
      <c r="AD91" s="21"/>
      <c r="AE91" s="20"/>
      <c r="AF91" s="21"/>
      <c r="AG91" s="20"/>
      <c r="AH91" s="21"/>
      <c r="AI91" s="20"/>
      <c r="AJ91" s="21"/>
      <c r="AK91" s="20"/>
      <c r="AL91" s="21"/>
      <c r="AM91" s="20"/>
      <c r="AN91" s="21"/>
      <c r="AO91" s="20"/>
      <c r="AP91" s="21"/>
      <c r="AQ91" s="20"/>
      <c r="AR91" s="21"/>
    </row>
    <row r="92" spans="1:64" ht="46.5" customHeight="1">
      <c r="A92" s="138"/>
      <c r="B92" s="139"/>
      <c r="C92" s="85" t="s">
        <v>160</v>
      </c>
      <c r="D92" s="86"/>
      <c r="E92" s="134" t="s">
        <v>161</v>
      </c>
      <c r="F92" s="135"/>
      <c r="G92" s="134" t="s">
        <v>161</v>
      </c>
      <c r="H92" s="135"/>
      <c r="I92" s="134" t="s">
        <v>161</v>
      </c>
      <c r="J92" s="135"/>
      <c r="K92" s="134" t="s">
        <v>161</v>
      </c>
      <c r="L92" s="135"/>
      <c r="M92" s="134" t="s">
        <v>161</v>
      </c>
      <c r="N92" s="135"/>
      <c r="O92" s="134" t="s">
        <v>161</v>
      </c>
      <c r="P92" s="135"/>
      <c r="Q92" s="134" t="s">
        <v>161</v>
      </c>
      <c r="R92" s="135"/>
      <c r="S92" s="134" t="s">
        <v>161</v>
      </c>
      <c r="T92" s="135"/>
      <c r="U92" s="134" t="s">
        <v>161</v>
      </c>
      <c r="V92" s="135"/>
      <c r="W92" s="134" t="s">
        <v>161</v>
      </c>
      <c r="X92" s="135"/>
      <c r="Y92" s="134" t="s">
        <v>161</v>
      </c>
      <c r="Z92" s="135"/>
      <c r="AA92" s="134" t="s">
        <v>161</v>
      </c>
      <c r="AB92" s="135"/>
      <c r="AC92" s="134" t="s">
        <v>161</v>
      </c>
      <c r="AD92" s="135"/>
      <c r="AE92" s="134" t="s">
        <v>161</v>
      </c>
      <c r="AF92" s="135"/>
      <c r="AG92" s="134" t="s">
        <v>161</v>
      </c>
      <c r="AH92" s="135"/>
      <c r="AI92" s="134" t="s">
        <v>161</v>
      </c>
      <c r="AJ92" s="135"/>
      <c r="AK92" s="134" t="s">
        <v>161</v>
      </c>
      <c r="AL92" s="135"/>
      <c r="AM92" s="134" t="s">
        <v>161</v>
      </c>
      <c r="AN92" s="135"/>
      <c r="AO92" s="134" t="s">
        <v>161</v>
      </c>
      <c r="AP92" s="135"/>
      <c r="AQ92" s="134" t="s">
        <v>161</v>
      </c>
      <c r="AR92" s="135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1:64" ht="12.75" customHeight="1">
      <c r="A93" s="23"/>
      <c r="B93" s="16"/>
      <c r="C93" s="16"/>
      <c r="D93" s="87"/>
      <c r="E93" s="1" t="s">
        <v>162</v>
      </c>
      <c r="F93" s="113">
        <f>IF(OR(EXACT(E93,$C$101),EXACT(E93,$C$95),EXACT(E93,$C$100),EXACT(E93,$C$94),EXACT(E93,$C$97),EXACT(E93,$C$96),EXACT(E93,$C$98),EXACT(E93,$C$99),EXACT(E93,$C$102),EXACT(E93,$C$103),EXACT(E93,$C$104),EXACT(E93,$C$105),EXACT(E93,$C$106),EXACT(E93,$C$107),EXACT(E93,$C$108),EXACT(E93,$C$93)),2,0)</f>
        <v>0</v>
      </c>
      <c r="G93" s="1" t="s">
        <v>162</v>
      </c>
      <c r="H93" s="113">
        <f>IF(OR(EXACT(G93,$C$101),EXACT(G93,$C$95),EXACT(G93,$C$100),EXACT(G93,$C$94),EXACT(G93,$C$97),EXACT(G93,$C$96),EXACT(G93,$C$98),EXACT(G93,$C$99),EXACT(G93,$C$102),EXACT(G93,$C$103),EXACT(G93,$C$104),EXACT(G93,$C$105),EXACT(G93,$C$106),EXACT(G93,$C$107),EXACT(G93,$C$108),EXACT(G93,$C$93)),2,0)</f>
        <v>0</v>
      </c>
      <c r="I93" s="1" t="s">
        <v>162</v>
      </c>
      <c r="J93" s="113">
        <f>IF(OR(EXACT(I93,$C$101),EXACT(I93,$C$95),EXACT(I93,$C$100),EXACT(I93,$C$94),EXACT(I93,$C$97),EXACT(I93,$C$96),EXACT(I93,$C$98),EXACT(I93,$C$99),EXACT(I93,$C$102),EXACT(I93,$C$103),EXACT(I93,$C$104),EXACT(I93,$C$105),EXACT(I93,$C$106),EXACT(I93,$C$107),EXACT(I93,$C$108),EXACT(I93,$C$93)),2,0)</f>
        <v>0</v>
      </c>
      <c r="K93" s="1" t="s">
        <v>163</v>
      </c>
      <c r="L93" s="113">
        <f>IF(OR(EXACT(K93,$C$101),EXACT(K93,$C$95),EXACT(K93,$C$100),EXACT(K93,$C$94),EXACT(K93,$C$97),EXACT(K93,$C$96),EXACT(K93,$C$98),EXACT(K93,$C$99),EXACT(K93,$C$102),EXACT(K93,$C$103),EXACT(K93,$C$104),EXACT(K93,$C$105),EXACT(K93,$C$106),EXACT(K93,$C$107),EXACT(K93,$C$108),EXACT(K93,$C$93)),2,0)</f>
        <v>0</v>
      </c>
      <c r="M93" s="1" t="s">
        <v>162</v>
      </c>
      <c r="N93" s="113">
        <f>IF(OR(EXACT(M93,$C$101),EXACT(M93,$C$95),EXACT(M93,$C$100),EXACT(M93,$C$94),EXACT(M93,$C$97),EXACT(M93,$C$96),EXACT(M93,$C$98),EXACT(M93,$C$99),EXACT(M93,$C$102),EXACT(M93,$C$103),EXACT(M93,$C$104),EXACT(M93,$C$105),EXACT(M93,$C$106),EXACT(M93,$C$107),EXACT(M93,$C$108),EXACT(M93,$C$93)),2,0)</f>
        <v>0</v>
      </c>
      <c r="O93" s="112" t="s">
        <v>162</v>
      </c>
      <c r="P93" s="113">
        <f>IF(OR(EXACT(O93,$C$101),EXACT(O93,$C$95),EXACT(O93,$C$100),EXACT(O93,$C$94),EXACT(O93,$C$97),EXACT(O93,$C$96),EXACT(O93,$C$98),EXACT(O93,$C$99),EXACT(O93,$C$102),EXACT(O93,$C$103),EXACT(O93,$C$104),EXACT(O93,$C$105),EXACT(O93,$C$106),EXACT(O93,$C$107),EXACT(O93,$C$108),EXACT(O93,$C$93)),2,0)</f>
        <v>0</v>
      </c>
      <c r="Q93" s="1" t="s">
        <v>162</v>
      </c>
      <c r="R93" s="113">
        <f>IF(OR(EXACT(Q93,$C$101),EXACT(Q93,$C$95),EXACT(Q93,$C$100),EXACT(Q93,$C$94),EXACT(Q93,$C$97),EXACT(Q93,$C$96),EXACT(Q93,$C$98),EXACT(Q93,$C$99),EXACT(Q93,$C$102),EXACT(Q93,$C$103),EXACT(Q93,$C$104),EXACT(Q93,$C$105),EXACT(Q93,$C$106),EXACT(Q93,$C$107),EXACT(Q93,$C$108),EXACT(Q93,$C$93)),2,0)</f>
        <v>0</v>
      </c>
      <c r="S93" s="1" t="s">
        <v>164</v>
      </c>
      <c r="T93" s="113">
        <f>IF(OR(EXACT(S93,$C$101),EXACT(S93,$C$95),EXACT(S93,$C$100),EXACT(S93,$C$94),EXACT(S93,$C$97),EXACT(S93,$C$96),EXACT(S93,$C$98),EXACT(S93,$C$99),EXACT(S93,$C$102),EXACT(S93,$C$103),EXACT(S93,$C$104),EXACT(S93,$C$105),EXACT(S93,$C$106),EXACT(S93,$C$107),EXACT(S93,$C$108),EXACT(S93,$C$93)),2,0)</f>
        <v>0</v>
      </c>
      <c r="U93" s="1" t="s">
        <v>162</v>
      </c>
      <c r="V93" s="113">
        <f>IF(OR(EXACT(U93,$C$101),EXACT(U93,$C$95),EXACT(U93,$C$100),EXACT(U93,$C$94),EXACT(U93,$C$97),EXACT(U93,$C$96),EXACT(U93,$C$98),EXACT(U93,$C$99),EXACT(U93,$C$102),EXACT(U93,$C$103),EXACT(U93,$C$104),EXACT(U93,$C$105),EXACT(U93,$C$106),EXACT(U93,$C$107),EXACT(U93,$C$108),EXACT(U93,$C$93)),2,0)</f>
        <v>0</v>
      </c>
      <c r="W93" s="1" t="s">
        <v>163</v>
      </c>
      <c r="X93" s="113">
        <f>IF(OR(EXACT(W93,$C$101),EXACT(W93,$C$95),EXACT(W93,$C$100),EXACT(W93,$C$94),EXACT(W93,$C$97),EXACT(W93,$C$96),EXACT(W93,$C$98),EXACT(W93,$C$99),EXACT(W93,$C$102),EXACT(W93,$C$103),EXACT(W93,$C$104),EXACT(W93,$C$105),EXACT(W93,$C$106),EXACT(W93,$C$107),EXACT(W93,$C$108),EXACT(W93,$C$93)),2,0)</f>
        <v>0</v>
      </c>
      <c r="Y93" s="1" t="s">
        <v>162</v>
      </c>
      <c r="Z93" s="113">
        <f>IF(OR(EXACT(Y93,$C$101),EXACT(Y93,$C$95),EXACT(Y93,$C$100),EXACT(Y93,$C$94),EXACT(Y93,$C$97),EXACT(Y93,$C$96),EXACT(Y93,$C$98),EXACT(Y93,$C$99),EXACT(Y93,$C$102),EXACT(Y93,$C$103),EXACT(Y93,$C$104),EXACT(Y93,$C$105),EXACT(Y93,$C$106),EXACT(Y93,$C$107),EXACT(Y93,$C$108),EXACT(Y93,$C$93)),2,0)</f>
        <v>0</v>
      </c>
      <c r="AA93" s="112" t="s">
        <v>165</v>
      </c>
      <c r="AB93" s="113">
        <f>IF(OR(EXACT(AA93,$C$101),EXACT(AA93,$C$95),EXACT(AA93,$C$100),EXACT(AA93,$C$94),EXACT(AA93,$C$97),EXACT(AA93,$C$96),EXACT(AA93,$C$98),EXACT(AA93,$C$99),EXACT(AA93,$C$102),EXACT(AA93,$C$103),EXACT(AA93,$C$104),EXACT(AA93,$C$105),EXACT(AA93,$C$106),EXACT(AA93,$C$107),EXACT(AA93,$C$108),EXACT(AA93,$C$93)),2,0)</f>
        <v>0</v>
      </c>
      <c r="AC93" s="1" t="s">
        <v>162</v>
      </c>
      <c r="AD93" s="113">
        <f>IF(OR(EXACT(AC93,$C$101),EXACT(AC93,$C$95),EXACT(AC93,$C$100),EXACT(AC93,$C$94),EXACT(AC93,$C$97),EXACT(AC93,$C$96),EXACT(AC93,$C$98),EXACT(AC93,$C$99),EXACT(AC93,$C$102),EXACT(AC93,$C$103),EXACT(AC93,$C$104),EXACT(AC93,$C$105),EXACT(AC93,$C$106),EXACT(AC93,$C$107),EXACT(AC93,$C$108),EXACT(AC93,$C$93)),2,0)</f>
        <v>0</v>
      </c>
      <c r="AE93" s="1" t="s">
        <v>162</v>
      </c>
      <c r="AF93" s="113">
        <f>IF(OR(EXACT(AE93,$C$101),EXACT(AE93,$C$95),EXACT(AE93,$C$100),EXACT(AE93,$C$94),EXACT(AE93,$C$97),EXACT(AE93,$C$96),EXACT(AE93,$C$98),EXACT(AE93,$C$99),EXACT(AE93,$C$102),EXACT(AE93,$C$103),EXACT(AE93,$C$104),EXACT(AE93,$C$105),EXACT(AE93,$C$106),EXACT(AE93,$C$107),EXACT(AE93,$C$108),EXACT(AE93,$C$93)),2,0)</f>
        <v>0</v>
      </c>
      <c r="AG93" s="1" t="s">
        <v>162</v>
      </c>
      <c r="AH93" s="113">
        <f>IF(OR(EXACT(AG93,$C$101),EXACT(AG93,$C$95),EXACT(AG93,$C$100),EXACT(AG93,$C$94),EXACT(AG93,$C$97),EXACT(AG93,$C$96),EXACT(AG93,$C$98),EXACT(AG93,$C$99),EXACT(AG93,$C$102),EXACT(AG93,$C$103),EXACT(AG93,$C$104),EXACT(AG93,$C$105),EXACT(AG93,$C$106),EXACT(AG93,$C$107),EXACT(AG93,$C$108),EXACT(AG93,$C$93)),2,0)</f>
        <v>0</v>
      </c>
      <c r="AI93" s="1" t="s">
        <v>166</v>
      </c>
      <c r="AJ93" s="113">
        <f>IF(OR(EXACT(AI93,$C$101),EXACT(AI93,$C$95),EXACT(AI93,$C$100),EXACT(AI93,$C$94),EXACT(AI93,$C$97),EXACT(AI93,$C$96),EXACT(AI93,$C$98),EXACT(AI93,$C$99),EXACT(AI93,$C$102),EXACT(AI93,$C$103),EXACT(AI93,$C$104),EXACT(AI93,$C$105),EXACT(AI93,$C$106),EXACT(AI93,$C$107),EXACT(AI93,$C$108),EXACT(AI93,$C$93)),2,0)</f>
        <v>0</v>
      </c>
      <c r="AK93" s="1" t="s">
        <v>167</v>
      </c>
      <c r="AL93" s="113">
        <f>IF(OR(EXACT(AK93,$C$101),EXACT(AK93,$C$95),EXACT(AK93,$C$100),EXACT(AK93,$C$94),EXACT(AK93,$C$97),EXACT(AK93,$C$96),EXACT(AK93,$C$98),EXACT(AK93,$C$99),EXACT(AK93,$C$102),EXACT(AK93,$C$103),EXACT(AK93,$C$104),EXACT(AK93,$C$105),EXACT(AK93,$C$106),EXACT(AK93,$C$107),EXACT(AK93,$C$108),EXACT(AK93,$C$93)),2,0)</f>
        <v>0</v>
      </c>
      <c r="AM93" s="1" t="s">
        <v>162</v>
      </c>
      <c r="AN93" s="113">
        <f>IF(OR(EXACT(AM93,$C$101),EXACT(AM93,$C$95),EXACT(AM93,$C$100),EXACT(AM93,$C$94),EXACT(AM93,$C$97),EXACT(AM93,$C$96),EXACT(AM93,$C$98),EXACT(AM93,$C$99),EXACT(AM93,$C$102),EXACT(AM93,$C$103),EXACT(AM93,$C$104),EXACT(AM93,$C$105),EXACT(AM93,$C$106),EXACT(AM93,$C$107),EXACT(AM93,$C$108),EXACT(AM93,$C$93)),2,0)</f>
        <v>0</v>
      </c>
      <c r="AO93" s="1" t="s">
        <v>168</v>
      </c>
      <c r="AP93" s="113">
        <f>IF(OR(EXACT(AO93,$C$101),EXACT(AO93,$C$95),EXACT(AO93,$C$100),EXACT(AO93,$C$94),EXACT(AO93,$C$97),EXACT(AO93,$C$96),EXACT(AO93,$C$98),EXACT(AO93,$C$99),EXACT(AO93,$C$102),EXACT(AO93,$C$103),EXACT(AO93,$C$104),EXACT(AO93,$C$105),EXACT(AO93,$C$106),EXACT(AO93,$C$107),EXACT(AO93,$C$108),EXACT(AO93,$C$93)),2,0)</f>
        <v>0</v>
      </c>
      <c r="AQ93" s="1" t="s">
        <v>162</v>
      </c>
      <c r="AR93" s="113">
        <f>IF(OR(EXACT(AQ93,$C$101),EXACT(AQ93,$C$95),EXACT(AQ93,$C$100),EXACT(AQ93,$C$94),EXACT(AQ93,$C$97),EXACT(AQ93,$C$96),EXACT(AQ93,$C$98),EXACT(AQ93,$C$99),EXACT(AQ93,$C$102),EXACT(AQ93,$C$103),EXACT(AQ93,$C$104),EXACT(AQ93,$C$105),EXACT(AQ93,$C$106),EXACT(AQ93,$C$107),EXACT(AQ93,$C$108),EXACT(AQ93,$C$93)),2,0)</f>
        <v>0</v>
      </c>
    </row>
    <row r="94" spans="1:64" ht="14.25" customHeight="1">
      <c r="A94" s="23"/>
      <c r="B94" s="16"/>
      <c r="C94" s="16"/>
      <c r="D94" s="87"/>
      <c r="E94" s="1" t="s">
        <v>166</v>
      </c>
      <c r="F94" s="113">
        <f t="shared" ref="F94:F108" si="0">IF(OR(EXACT(E94,$C$101),EXACT(E94,$C$95),EXACT(E94,$C$100),EXACT(E94,$C$94),EXACT(E94,$C$97),EXACT(E94,$C$96),EXACT(E94,$C$98),EXACT(E94,$C$99),EXACT(E94,$C$102),EXACT(E94,$C$103),EXACT(E94,$C$104),EXACT(E94,$C$105),EXACT(E94,$C$106),EXACT(E94,$C$107),EXACT(E94,$C$108),EXACT(E94,$C$93)),2,0)</f>
        <v>0</v>
      </c>
      <c r="G94" s="1" t="s">
        <v>163</v>
      </c>
      <c r="H94" s="113">
        <f t="shared" ref="H94:H108" si="1">IF(OR(EXACT(G94,$C$101),EXACT(G94,$C$95),EXACT(G94,$C$100),EXACT(G94,$C$94),EXACT(G94,$C$97),EXACT(G94,$C$96),EXACT(G94,$C$98),EXACT(G94,$C$99),EXACT(G94,$C$102),EXACT(G94,$C$103),EXACT(G94,$C$104),EXACT(G94,$C$105),EXACT(G94,$C$106),EXACT(G94,$C$107),EXACT(G94,$C$108),EXACT(G94,$C$93)),2,0)</f>
        <v>0</v>
      </c>
      <c r="I94" s="1" t="s">
        <v>163</v>
      </c>
      <c r="J94" s="113">
        <f t="shared" ref="J94:J108" si="2">IF(OR(EXACT(I94,$C$101),EXACT(I94,$C$95),EXACT(I94,$C$100),EXACT(I94,$C$94),EXACT(I94,$C$97),EXACT(I94,$C$96),EXACT(I94,$C$98),EXACT(I94,$C$99),EXACT(I94,$C$102),EXACT(I94,$C$103),EXACT(I94,$C$104),EXACT(I94,$C$105),EXACT(I94,$C$106),EXACT(I94,$C$107),EXACT(I94,$C$108),EXACT(I94,$C$93)),2,0)</f>
        <v>0</v>
      </c>
      <c r="K94" s="1" t="s">
        <v>169</v>
      </c>
      <c r="L94" s="113">
        <f t="shared" ref="L94:L108" si="3">IF(OR(EXACT(K94,$C$101),EXACT(K94,$C$95),EXACT(K94,$C$100),EXACT(K94,$C$94),EXACT(K94,$C$97),EXACT(K94,$C$96),EXACT(K94,$C$98),EXACT(K94,$C$99),EXACT(K94,$C$102),EXACT(K94,$C$103),EXACT(K94,$C$104),EXACT(K94,$C$105),EXACT(K94,$C$106),EXACT(K94,$C$107),EXACT(K94,$C$108),EXACT(K94,$C$93)),2,0)</f>
        <v>0</v>
      </c>
      <c r="M94" s="1" t="s">
        <v>166</v>
      </c>
      <c r="N94" s="113">
        <f t="shared" ref="N94:P108" si="4">IF(OR(EXACT(M94,$C$101),EXACT(M94,$C$95),EXACT(M94,$C$100),EXACT(M94,$C$94),EXACT(M94,$C$97),EXACT(M94,$C$96),EXACT(M94,$C$98),EXACT(M94,$C$99),EXACT(M94,$C$102),EXACT(M94,$C$103),EXACT(M94,$C$104),EXACT(M94,$C$105),EXACT(M94,$C$106),EXACT(M94,$C$107),EXACT(M94,$C$108),EXACT(M94,$C$93)),2,0)</f>
        <v>0</v>
      </c>
      <c r="O94" s="112" t="s">
        <v>170</v>
      </c>
      <c r="P94" s="113">
        <f t="shared" si="4"/>
        <v>0</v>
      </c>
      <c r="Q94" s="1" t="s">
        <v>163</v>
      </c>
      <c r="R94" s="113">
        <f t="shared" ref="R94" si="5">IF(OR(EXACT(Q94,$C$101),EXACT(Q94,$C$95),EXACT(Q94,$C$100),EXACT(Q94,$C$94),EXACT(Q94,$C$97),EXACT(Q94,$C$96),EXACT(Q94,$C$98),EXACT(Q94,$C$99),EXACT(Q94,$C$102),EXACT(Q94,$C$103),EXACT(Q94,$C$104),EXACT(Q94,$C$105),EXACT(Q94,$C$106),EXACT(Q94,$C$107),EXACT(Q94,$C$108),EXACT(Q94,$C$93)),2,0)</f>
        <v>0</v>
      </c>
      <c r="S94" s="1" t="s">
        <v>171</v>
      </c>
      <c r="T94" s="113">
        <f t="shared" ref="T94" si="6">IF(OR(EXACT(S94,$C$101),EXACT(S94,$C$95),EXACT(S94,$C$100),EXACT(S94,$C$94),EXACT(S94,$C$97),EXACT(S94,$C$96),EXACT(S94,$C$98),EXACT(S94,$C$99),EXACT(S94,$C$102),EXACT(S94,$C$103),EXACT(S94,$C$104),EXACT(S94,$C$105),EXACT(S94,$C$106),EXACT(S94,$C$107),EXACT(S94,$C$108),EXACT(S94,$C$93)),2,0)</f>
        <v>0</v>
      </c>
      <c r="U94" s="1" t="s">
        <v>163</v>
      </c>
      <c r="V94" s="113">
        <f t="shared" ref="V94" si="7">IF(OR(EXACT(U94,$C$101),EXACT(U94,$C$95),EXACT(U94,$C$100),EXACT(U94,$C$94),EXACT(U94,$C$97),EXACT(U94,$C$96),EXACT(U94,$C$98),EXACT(U94,$C$99),EXACT(U94,$C$102),EXACT(U94,$C$103),EXACT(U94,$C$104),EXACT(U94,$C$105),EXACT(U94,$C$106),EXACT(U94,$C$107),EXACT(U94,$C$108),EXACT(U94,$C$93)),2,0)</f>
        <v>0</v>
      </c>
      <c r="W94" s="1" t="s">
        <v>172</v>
      </c>
      <c r="X94" s="113">
        <f t="shared" ref="X94" si="8">IF(OR(EXACT(W94,$C$101),EXACT(W94,$C$95),EXACT(W94,$C$100),EXACT(W94,$C$94),EXACT(W94,$C$97),EXACT(W94,$C$96),EXACT(W94,$C$98),EXACT(W94,$C$99),EXACT(W94,$C$102),EXACT(W94,$C$103),EXACT(W94,$C$104),EXACT(W94,$C$105),EXACT(W94,$C$106),EXACT(W94,$C$107),EXACT(W94,$C$108),EXACT(W94,$C$93)),2,0)</f>
        <v>0</v>
      </c>
      <c r="Y94" s="1" t="s">
        <v>171</v>
      </c>
      <c r="Z94" s="113">
        <f t="shared" ref="Z94" si="9">IF(OR(EXACT(Y94,$C$101),EXACT(Y94,$C$95),EXACT(Y94,$C$100),EXACT(Y94,$C$94),EXACT(Y94,$C$97),EXACT(Y94,$C$96),EXACT(Y94,$C$98),EXACT(Y94,$C$99),EXACT(Y94,$C$102),EXACT(Y94,$C$103),EXACT(Y94,$C$104),EXACT(Y94,$C$105),EXACT(Y94,$C$106),EXACT(Y94,$C$107),EXACT(Y94,$C$108),EXACT(Y94,$C$93)),2,0)</f>
        <v>0</v>
      </c>
      <c r="AA94" s="112" t="s">
        <v>173</v>
      </c>
      <c r="AB94" s="113">
        <f t="shared" ref="AB94" si="10">IF(OR(EXACT(AA94,$C$101),EXACT(AA94,$C$95),EXACT(AA94,$C$100),EXACT(AA94,$C$94),EXACT(AA94,$C$97),EXACT(AA94,$C$96),EXACT(AA94,$C$98),EXACT(AA94,$C$99),EXACT(AA94,$C$102),EXACT(AA94,$C$103),EXACT(AA94,$C$104),EXACT(AA94,$C$105),EXACT(AA94,$C$106),EXACT(AA94,$C$107),EXACT(AA94,$C$108),EXACT(AA94,$C$93)),2,0)</f>
        <v>0</v>
      </c>
      <c r="AC94" s="1" t="s">
        <v>163</v>
      </c>
      <c r="AD94" s="113">
        <f t="shared" ref="AD94" si="11">IF(OR(EXACT(AC94,$C$101),EXACT(AC94,$C$95),EXACT(AC94,$C$100),EXACT(AC94,$C$94),EXACT(AC94,$C$97),EXACT(AC94,$C$96),EXACT(AC94,$C$98),EXACT(AC94,$C$99),EXACT(AC94,$C$102),EXACT(AC94,$C$103),EXACT(AC94,$C$104),EXACT(AC94,$C$105),EXACT(AC94,$C$106),EXACT(AC94,$C$107),EXACT(AC94,$C$108),EXACT(AC94,$C$93)),2,0)</f>
        <v>0</v>
      </c>
      <c r="AE94" s="1" t="s">
        <v>163</v>
      </c>
      <c r="AF94" s="113">
        <f t="shared" ref="AF94" si="12">IF(OR(EXACT(AE94,$C$101),EXACT(AE94,$C$95),EXACT(AE94,$C$100),EXACT(AE94,$C$94),EXACT(AE94,$C$97),EXACT(AE94,$C$96),EXACT(AE94,$C$98),EXACT(AE94,$C$99),EXACT(AE94,$C$102),EXACT(AE94,$C$103),EXACT(AE94,$C$104),EXACT(AE94,$C$105),EXACT(AE94,$C$106),EXACT(AE94,$C$107),EXACT(AE94,$C$108),EXACT(AE94,$C$93)),2,0)</f>
        <v>0</v>
      </c>
      <c r="AG94" s="1" t="s">
        <v>166</v>
      </c>
      <c r="AH94" s="113">
        <f t="shared" ref="AH94" si="13">IF(OR(EXACT(AG94,$C$101),EXACT(AG94,$C$95),EXACT(AG94,$C$100),EXACT(AG94,$C$94),EXACT(AG94,$C$97),EXACT(AG94,$C$96),EXACT(AG94,$C$98),EXACT(AG94,$C$99),EXACT(AG94,$C$102),EXACT(AG94,$C$103),EXACT(AG94,$C$104),EXACT(AG94,$C$105),EXACT(AG94,$C$106),EXACT(AG94,$C$107),EXACT(AG94,$C$108),EXACT(AG94,$C$93)),2,0)</f>
        <v>0</v>
      </c>
      <c r="AI94" s="1" t="s">
        <v>172</v>
      </c>
      <c r="AJ94" s="113">
        <f t="shared" ref="AJ94" si="14">IF(OR(EXACT(AI94,$C$101),EXACT(AI94,$C$95),EXACT(AI94,$C$100),EXACT(AI94,$C$94),EXACT(AI94,$C$97),EXACT(AI94,$C$96),EXACT(AI94,$C$98),EXACT(AI94,$C$99),EXACT(AI94,$C$102),EXACT(AI94,$C$103),EXACT(AI94,$C$104),EXACT(AI94,$C$105),EXACT(AI94,$C$106),EXACT(AI94,$C$107),EXACT(AI94,$C$108),EXACT(AI94,$C$93)),2,0)</f>
        <v>0</v>
      </c>
      <c r="AK94" s="1" t="s">
        <v>162</v>
      </c>
      <c r="AL94" s="113">
        <f t="shared" ref="AL94" si="15">IF(OR(EXACT(AK94,$C$101),EXACT(AK94,$C$95),EXACT(AK94,$C$100),EXACT(AK94,$C$94),EXACT(AK94,$C$97),EXACT(AK94,$C$96),EXACT(AK94,$C$98),EXACT(AK94,$C$99),EXACT(AK94,$C$102),EXACT(AK94,$C$103),EXACT(AK94,$C$104),EXACT(AK94,$C$105),EXACT(AK94,$C$106),EXACT(AK94,$C$107),EXACT(AK94,$C$108),EXACT(AK94,$C$93)),2,0)</f>
        <v>0</v>
      </c>
      <c r="AM94" s="1" t="s">
        <v>163</v>
      </c>
      <c r="AN94" s="113">
        <f t="shared" ref="AN94" si="16">IF(OR(EXACT(AM94,$C$101),EXACT(AM94,$C$95),EXACT(AM94,$C$100),EXACT(AM94,$C$94),EXACT(AM94,$C$97),EXACT(AM94,$C$96),EXACT(AM94,$C$98),EXACT(AM94,$C$99),EXACT(AM94,$C$102),EXACT(AM94,$C$103),EXACT(AM94,$C$104),EXACT(AM94,$C$105),EXACT(AM94,$C$106),EXACT(AM94,$C$107),EXACT(AM94,$C$108),EXACT(AM94,$C$93)),2,0)</f>
        <v>0</v>
      </c>
      <c r="AO94" s="1" t="s">
        <v>170</v>
      </c>
      <c r="AP94" s="113">
        <f t="shared" ref="AP94" si="17">IF(OR(EXACT(AO94,$C$101),EXACT(AO94,$C$95),EXACT(AO94,$C$100),EXACT(AO94,$C$94),EXACT(AO94,$C$97),EXACT(AO94,$C$96),EXACT(AO94,$C$98),EXACT(AO94,$C$99),EXACT(AO94,$C$102),EXACT(AO94,$C$103),EXACT(AO94,$C$104),EXACT(AO94,$C$105),EXACT(AO94,$C$106),EXACT(AO94,$C$107),EXACT(AO94,$C$108),EXACT(AO94,$C$93)),2,0)</f>
        <v>0</v>
      </c>
      <c r="AQ94" s="1" t="s">
        <v>171</v>
      </c>
      <c r="AR94" s="113">
        <f t="shared" ref="AR94" si="18">IF(OR(EXACT(AQ94,$C$101),EXACT(AQ94,$C$95),EXACT(AQ94,$C$100),EXACT(AQ94,$C$94),EXACT(AQ94,$C$97),EXACT(AQ94,$C$96),EXACT(AQ94,$C$98),EXACT(AQ94,$C$99),EXACT(AQ94,$C$102),EXACT(AQ94,$C$103),EXACT(AQ94,$C$104),EXACT(AQ94,$C$105),EXACT(AQ94,$C$106),EXACT(AQ94,$C$107),EXACT(AQ94,$C$108),EXACT(AQ94,$C$93)),2,0)</f>
        <v>0</v>
      </c>
    </row>
    <row r="95" spans="1:64" ht="12.75" customHeight="1">
      <c r="A95" s="23"/>
      <c r="B95" s="16"/>
      <c r="C95" s="16"/>
      <c r="D95" s="87"/>
      <c r="E95" s="1" t="s">
        <v>163</v>
      </c>
      <c r="F95" s="113">
        <f t="shared" si="0"/>
        <v>0</v>
      </c>
      <c r="G95" s="1" t="s">
        <v>172</v>
      </c>
      <c r="H95" s="113">
        <f t="shared" si="1"/>
        <v>0</v>
      </c>
      <c r="I95" s="1" t="s">
        <v>168</v>
      </c>
      <c r="J95" s="113">
        <f t="shared" si="2"/>
        <v>0</v>
      </c>
      <c r="K95" s="1" t="s">
        <v>162</v>
      </c>
      <c r="L95" s="113">
        <f t="shared" si="3"/>
        <v>0</v>
      </c>
      <c r="M95" s="1" t="s">
        <v>167</v>
      </c>
      <c r="N95" s="113">
        <f t="shared" si="4"/>
        <v>0</v>
      </c>
      <c r="O95" s="112" t="s">
        <v>174</v>
      </c>
      <c r="P95" s="113">
        <f t="shared" si="4"/>
        <v>0</v>
      </c>
      <c r="Q95" s="1" t="s">
        <v>166</v>
      </c>
      <c r="R95" s="113">
        <f t="shared" ref="R95" si="19">IF(OR(EXACT(Q95,$C$101),EXACT(Q95,$C$95),EXACT(Q95,$C$100),EXACT(Q95,$C$94),EXACT(Q95,$C$97),EXACT(Q95,$C$96),EXACT(Q95,$C$98),EXACT(Q95,$C$99),EXACT(Q95,$C$102),EXACT(Q95,$C$103),EXACT(Q95,$C$104),EXACT(Q95,$C$105),EXACT(Q95,$C$106),EXACT(Q95,$C$107),EXACT(Q95,$C$108),EXACT(Q95,$C$93)),2,0)</f>
        <v>0</v>
      </c>
      <c r="S95" s="1" t="s">
        <v>163</v>
      </c>
      <c r="T95" s="113">
        <f t="shared" ref="T95" si="20">IF(OR(EXACT(S95,$C$101),EXACT(S95,$C$95),EXACT(S95,$C$100),EXACT(S95,$C$94),EXACT(S95,$C$97),EXACT(S95,$C$96),EXACT(S95,$C$98),EXACT(S95,$C$99),EXACT(S95,$C$102),EXACT(S95,$C$103),EXACT(S95,$C$104),EXACT(S95,$C$105),EXACT(S95,$C$106),EXACT(S95,$C$107),EXACT(S95,$C$108),EXACT(S95,$C$93)),2,0)</f>
        <v>0</v>
      </c>
      <c r="U95" s="1" t="s">
        <v>167</v>
      </c>
      <c r="V95" s="113">
        <f t="shared" ref="V95" si="21">IF(OR(EXACT(U95,$C$101),EXACT(U95,$C$95),EXACT(U95,$C$100),EXACT(U95,$C$94),EXACT(U95,$C$97),EXACT(U95,$C$96),EXACT(U95,$C$98),EXACT(U95,$C$99),EXACT(U95,$C$102),EXACT(U95,$C$103),EXACT(U95,$C$104),EXACT(U95,$C$105),EXACT(U95,$C$106),EXACT(U95,$C$107),EXACT(U95,$C$108),EXACT(U95,$C$93)),2,0)</f>
        <v>0</v>
      </c>
      <c r="W95" s="1" t="s">
        <v>162</v>
      </c>
      <c r="X95" s="113">
        <f t="shared" ref="X95" si="22">IF(OR(EXACT(W95,$C$101),EXACT(W95,$C$95),EXACT(W95,$C$100),EXACT(W95,$C$94),EXACT(W95,$C$97),EXACT(W95,$C$96),EXACT(W95,$C$98),EXACT(W95,$C$99),EXACT(W95,$C$102),EXACT(W95,$C$103),EXACT(W95,$C$104),EXACT(W95,$C$105),EXACT(W95,$C$106),EXACT(W95,$C$107),EXACT(W95,$C$108),EXACT(W95,$C$93)),2,0)</f>
        <v>0</v>
      </c>
      <c r="Y95" s="1" t="s">
        <v>166</v>
      </c>
      <c r="Z95" s="113">
        <f t="shared" ref="Z95" si="23">IF(OR(EXACT(Y95,$C$101),EXACT(Y95,$C$95),EXACT(Y95,$C$100),EXACT(Y95,$C$94),EXACT(Y95,$C$97),EXACT(Y95,$C$96),EXACT(Y95,$C$98),EXACT(Y95,$C$99),EXACT(Y95,$C$102),EXACT(Y95,$C$103),EXACT(Y95,$C$104),EXACT(Y95,$C$105),EXACT(Y95,$C$106),EXACT(Y95,$C$107),EXACT(Y95,$C$108),EXACT(Y95,$C$93)),2,0)</f>
        <v>0</v>
      </c>
      <c r="AA95" s="112" t="s">
        <v>175</v>
      </c>
      <c r="AB95" s="113">
        <f t="shared" ref="AB95" si="24">IF(OR(EXACT(AA95,$C$101),EXACT(AA95,$C$95),EXACT(AA95,$C$100),EXACT(AA95,$C$94),EXACT(AA95,$C$97),EXACT(AA95,$C$96),EXACT(AA95,$C$98),EXACT(AA95,$C$99),EXACT(AA95,$C$102),EXACT(AA95,$C$103),EXACT(AA95,$C$104),EXACT(AA95,$C$105),EXACT(AA95,$C$106),EXACT(AA95,$C$107),EXACT(AA95,$C$108),EXACT(AA95,$C$93)),2,0)</f>
        <v>0</v>
      </c>
      <c r="AC95" s="1" t="s">
        <v>172</v>
      </c>
      <c r="AD95" s="113">
        <f t="shared" ref="AD95" si="25">IF(OR(EXACT(AC95,$C$101),EXACT(AC95,$C$95),EXACT(AC95,$C$100),EXACT(AC95,$C$94),EXACT(AC95,$C$97),EXACT(AC95,$C$96),EXACT(AC95,$C$98),EXACT(AC95,$C$99),EXACT(AC95,$C$102),EXACT(AC95,$C$103),EXACT(AC95,$C$104),EXACT(AC95,$C$105),EXACT(AC95,$C$106),EXACT(AC95,$C$107),EXACT(AC95,$C$108),EXACT(AC95,$C$93)),2,0)</f>
        <v>0</v>
      </c>
      <c r="AE95" s="1" t="s">
        <v>167</v>
      </c>
      <c r="AF95" s="113">
        <f t="shared" ref="AF95" si="26">IF(OR(EXACT(AE95,$C$101),EXACT(AE95,$C$95),EXACT(AE95,$C$100),EXACT(AE95,$C$94),EXACT(AE95,$C$97),EXACT(AE95,$C$96),EXACT(AE95,$C$98),EXACT(AE95,$C$99),EXACT(AE95,$C$102),EXACT(AE95,$C$103),EXACT(AE95,$C$104),EXACT(AE95,$C$105),EXACT(AE95,$C$106),EXACT(AE95,$C$107),EXACT(AE95,$C$108),EXACT(AE95,$C$93)),2,0)</f>
        <v>0</v>
      </c>
      <c r="AG95" s="1" t="s">
        <v>167</v>
      </c>
      <c r="AH95" s="113">
        <f t="shared" ref="AH95" si="27">IF(OR(EXACT(AG95,$C$101),EXACT(AG95,$C$95),EXACT(AG95,$C$100),EXACT(AG95,$C$94),EXACT(AG95,$C$97),EXACT(AG95,$C$96),EXACT(AG95,$C$98),EXACT(AG95,$C$99),EXACT(AG95,$C$102),EXACT(AG95,$C$103),EXACT(AG95,$C$104),EXACT(AG95,$C$105),EXACT(AG95,$C$106),EXACT(AG95,$C$107),EXACT(AG95,$C$108),EXACT(AG95,$C$93)),2,0)</f>
        <v>0</v>
      </c>
      <c r="AI95" s="1" t="s">
        <v>162</v>
      </c>
      <c r="AJ95" s="113">
        <f t="shared" ref="AJ95" si="28">IF(OR(EXACT(AI95,$C$101),EXACT(AI95,$C$95),EXACT(AI95,$C$100),EXACT(AI95,$C$94),EXACT(AI95,$C$97),EXACT(AI95,$C$96),EXACT(AI95,$C$98),EXACT(AI95,$C$99),EXACT(AI95,$C$102),EXACT(AI95,$C$103),EXACT(AI95,$C$104),EXACT(AI95,$C$105),EXACT(AI95,$C$106),EXACT(AI95,$C$107),EXACT(AI95,$C$108),EXACT(AI95,$C$93)),2,0)</f>
        <v>0</v>
      </c>
      <c r="AK95" s="1" t="s">
        <v>176</v>
      </c>
      <c r="AL95" s="113">
        <f t="shared" ref="AL95" si="29">IF(OR(EXACT(AK95,$C$101),EXACT(AK95,$C$95),EXACT(AK95,$C$100),EXACT(AK95,$C$94),EXACT(AK95,$C$97),EXACT(AK95,$C$96),EXACT(AK95,$C$98),EXACT(AK95,$C$99),EXACT(AK95,$C$102),EXACT(AK95,$C$103),EXACT(AK95,$C$104),EXACT(AK95,$C$105),EXACT(AK95,$C$106),EXACT(AK95,$C$107),EXACT(AK95,$C$108),EXACT(AK95,$C$93)),2,0)</f>
        <v>0</v>
      </c>
      <c r="AM95" s="1" t="s">
        <v>167</v>
      </c>
      <c r="AN95" s="113">
        <f t="shared" ref="AN95" si="30">IF(OR(EXACT(AM95,$C$101),EXACT(AM95,$C$95),EXACT(AM95,$C$100),EXACT(AM95,$C$94),EXACT(AM95,$C$97),EXACT(AM95,$C$96),EXACT(AM95,$C$98),EXACT(AM95,$C$99),EXACT(AM95,$C$102),EXACT(AM95,$C$103),EXACT(AM95,$C$104),EXACT(AM95,$C$105),EXACT(AM95,$C$106),EXACT(AM95,$C$107),EXACT(AM95,$C$108),EXACT(AM95,$C$93)),2,0)</f>
        <v>0</v>
      </c>
      <c r="AO95" s="1" t="s">
        <v>162</v>
      </c>
      <c r="AP95" s="113">
        <f t="shared" ref="AP95" si="31">IF(OR(EXACT(AO95,$C$101),EXACT(AO95,$C$95),EXACT(AO95,$C$100),EXACT(AO95,$C$94),EXACT(AO95,$C$97),EXACT(AO95,$C$96),EXACT(AO95,$C$98),EXACT(AO95,$C$99),EXACT(AO95,$C$102),EXACT(AO95,$C$103),EXACT(AO95,$C$104),EXACT(AO95,$C$105),EXACT(AO95,$C$106),EXACT(AO95,$C$107),EXACT(AO95,$C$108),EXACT(AO95,$C$93)),2,0)</f>
        <v>0</v>
      </c>
      <c r="AQ95" s="1" t="s">
        <v>163</v>
      </c>
      <c r="AR95" s="113">
        <f t="shared" ref="AR95" si="32">IF(OR(EXACT(AQ95,$C$101),EXACT(AQ95,$C$95),EXACT(AQ95,$C$100),EXACT(AQ95,$C$94),EXACT(AQ95,$C$97),EXACT(AQ95,$C$96),EXACT(AQ95,$C$98),EXACT(AQ95,$C$99),EXACT(AQ95,$C$102),EXACT(AQ95,$C$103),EXACT(AQ95,$C$104),EXACT(AQ95,$C$105),EXACT(AQ95,$C$106),EXACT(AQ95,$C$107),EXACT(AQ95,$C$108),EXACT(AQ95,$C$93)),2,0)</f>
        <v>0</v>
      </c>
    </row>
    <row r="96" spans="1:64" ht="12.75" customHeight="1">
      <c r="A96" s="23"/>
      <c r="B96" s="16"/>
      <c r="C96" s="16"/>
      <c r="D96" s="87"/>
      <c r="E96" s="1" t="s">
        <v>172</v>
      </c>
      <c r="F96" s="113">
        <f t="shared" si="0"/>
        <v>0</v>
      </c>
      <c r="G96" s="1" t="s">
        <v>167</v>
      </c>
      <c r="H96" s="113">
        <f t="shared" si="1"/>
        <v>0</v>
      </c>
      <c r="I96" s="1" t="s">
        <v>177</v>
      </c>
      <c r="J96" s="113">
        <f t="shared" si="2"/>
        <v>0</v>
      </c>
      <c r="K96" s="1" t="s">
        <v>178</v>
      </c>
      <c r="L96" s="113">
        <f t="shared" si="3"/>
        <v>0</v>
      </c>
      <c r="M96" s="1" t="s">
        <v>172</v>
      </c>
      <c r="N96" s="113">
        <f t="shared" si="4"/>
        <v>0</v>
      </c>
      <c r="O96" s="112" t="s">
        <v>179</v>
      </c>
      <c r="P96" s="113">
        <f t="shared" si="4"/>
        <v>0</v>
      </c>
      <c r="Q96" s="1" t="s">
        <v>176</v>
      </c>
      <c r="R96" s="113">
        <f t="shared" ref="R96" si="33">IF(OR(EXACT(Q96,$C$101),EXACT(Q96,$C$95),EXACT(Q96,$C$100),EXACT(Q96,$C$94),EXACT(Q96,$C$97),EXACT(Q96,$C$96),EXACT(Q96,$C$98),EXACT(Q96,$C$99),EXACT(Q96,$C$102),EXACT(Q96,$C$103),EXACT(Q96,$C$104),EXACT(Q96,$C$105),EXACT(Q96,$C$106),EXACT(Q96,$C$107),EXACT(Q96,$C$108),EXACT(Q96,$C$93)),2,0)</f>
        <v>0</v>
      </c>
      <c r="S96" s="1" t="s">
        <v>180</v>
      </c>
      <c r="T96" s="113">
        <f t="shared" ref="T96" si="34">IF(OR(EXACT(S96,$C$101),EXACT(S96,$C$95),EXACT(S96,$C$100),EXACT(S96,$C$94),EXACT(S96,$C$97),EXACT(S96,$C$96),EXACT(S96,$C$98),EXACT(S96,$C$99),EXACT(S96,$C$102),EXACT(S96,$C$103),EXACT(S96,$C$104),EXACT(S96,$C$105),EXACT(S96,$C$106),EXACT(S96,$C$107),EXACT(S96,$C$108),EXACT(S96,$C$93)),2,0)</f>
        <v>0</v>
      </c>
      <c r="U96" s="1" t="s">
        <v>172</v>
      </c>
      <c r="V96" s="113">
        <f t="shared" ref="V96" si="35">IF(OR(EXACT(U96,$C$101),EXACT(U96,$C$95),EXACT(U96,$C$100),EXACT(U96,$C$94),EXACT(U96,$C$97),EXACT(U96,$C$96),EXACT(U96,$C$98),EXACT(U96,$C$99),EXACT(U96,$C$102),EXACT(U96,$C$103),EXACT(U96,$C$104),EXACT(U96,$C$105),EXACT(U96,$C$106),EXACT(U96,$C$107),EXACT(U96,$C$108),EXACT(U96,$C$93)),2,0)</f>
        <v>0</v>
      </c>
      <c r="W96" s="1" t="s">
        <v>177</v>
      </c>
      <c r="X96" s="113">
        <f t="shared" ref="X96" si="36">IF(OR(EXACT(W96,$C$101),EXACT(W96,$C$95),EXACT(W96,$C$100),EXACT(W96,$C$94),EXACT(W96,$C$97),EXACT(W96,$C$96),EXACT(W96,$C$98),EXACT(W96,$C$99),EXACT(W96,$C$102),EXACT(W96,$C$103),EXACT(W96,$C$104),EXACT(W96,$C$105),EXACT(W96,$C$106),EXACT(W96,$C$107),EXACT(W96,$C$108),EXACT(W96,$C$93)),2,0)</f>
        <v>0</v>
      </c>
      <c r="Y96" s="1" t="s">
        <v>169</v>
      </c>
      <c r="Z96" s="113">
        <f t="shared" ref="Z96" si="37">IF(OR(EXACT(Y96,$C$101),EXACT(Y96,$C$95),EXACT(Y96,$C$100),EXACT(Y96,$C$94),EXACT(Y96,$C$97),EXACT(Y96,$C$96),EXACT(Y96,$C$98),EXACT(Y96,$C$99),EXACT(Y96,$C$102),EXACT(Y96,$C$103),EXACT(Y96,$C$104),EXACT(Y96,$C$105),EXACT(Y96,$C$106),EXACT(Y96,$C$107),EXACT(Y96,$C$108),EXACT(Y96,$C$93)),2,0)</f>
        <v>0</v>
      </c>
      <c r="AA96" s="112" t="s">
        <v>181</v>
      </c>
      <c r="AB96" s="113">
        <f t="shared" ref="AB96" si="38">IF(OR(EXACT(AA96,$C$101),EXACT(AA96,$C$95),EXACT(AA96,$C$100),EXACT(AA96,$C$94),EXACT(AA96,$C$97),EXACT(AA96,$C$96),EXACT(AA96,$C$98),EXACT(AA96,$C$99),EXACT(AA96,$C$102),EXACT(AA96,$C$103),EXACT(AA96,$C$104),EXACT(AA96,$C$105),EXACT(AA96,$C$106),EXACT(AA96,$C$107),EXACT(AA96,$C$108),EXACT(AA96,$C$93)),2,0)</f>
        <v>0</v>
      </c>
      <c r="AC96" s="1" t="s">
        <v>167</v>
      </c>
      <c r="AD96" s="113">
        <f t="shared" ref="AD96" si="39">IF(OR(EXACT(AC96,$C$101),EXACT(AC96,$C$95),EXACT(AC96,$C$100),EXACT(AC96,$C$94),EXACT(AC96,$C$97),EXACT(AC96,$C$96),EXACT(AC96,$C$98),EXACT(AC96,$C$99),EXACT(AC96,$C$102),EXACT(AC96,$C$103),EXACT(AC96,$C$104),EXACT(AC96,$C$105),EXACT(AC96,$C$106),EXACT(AC96,$C$107),EXACT(AC96,$C$108),EXACT(AC96,$C$93)),2,0)</f>
        <v>0</v>
      </c>
      <c r="AE96" s="1" t="s">
        <v>172</v>
      </c>
      <c r="AF96" s="113">
        <f t="shared" ref="AF96" si="40">IF(OR(EXACT(AE96,$C$101),EXACT(AE96,$C$95),EXACT(AE96,$C$100),EXACT(AE96,$C$94),EXACT(AE96,$C$97),EXACT(AE96,$C$96),EXACT(AE96,$C$98),EXACT(AE96,$C$99),EXACT(AE96,$C$102),EXACT(AE96,$C$103),EXACT(AE96,$C$104),EXACT(AE96,$C$105),EXACT(AE96,$C$106),EXACT(AE96,$C$107),EXACT(AE96,$C$108),EXACT(AE96,$C$93)),2,0)</f>
        <v>0</v>
      </c>
      <c r="AG96" s="1" t="s">
        <v>172</v>
      </c>
      <c r="AH96" s="113">
        <f t="shared" ref="AH96" si="41">IF(OR(EXACT(AG96,$C$101),EXACT(AG96,$C$95),EXACT(AG96,$C$100),EXACT(AG96,$C$94),EXACT(AG96,$C$97),EXACT(AG96,$C$96),EXACT(AG96,$C$98),EXACT(AG96,$C$99),EXACT(AG96,$C$102),EXACT(AG96,$C$103),EXACT(AG96,$C$104),EXACT(AG96,$C$105),EXACT(AG96,$C$106),EXACT(AG96,$C$107),EXACT(AG96,$C$108),EXACT(AG96,$C$93)),2,0)</f>
        <v>0</v>
      </c>
      <c r="AI96" s="1" t="s">
        <v>177</v>
      </c>
      <c r="AJ96" s="113">
        <f t="shared" ref="AJ96" si="42">IF(OR(EXACT(AI96,$C$101),EXACT(AI96,$C$95),EXACT(AI96,$C$100),EXACT(AI96,$C$94),EXACT(AI96,$C$97),EXACT(AI96,$C$96),EXACT(AI96,$C$98),EXACT(AI96,$C$99),EXACT(AI96,$C$102),EXACT(AI96,$C$103),EXACT(AI96,$C$104),EXACT(AI96,$C$105),EXACT(AI96,$C$106),EXACT(AI96,$C$107),EXACT(AI96,$C$108),EXACT(AI96,$C$93)),2,0)</f>
        <v>0</v>
      </c>
      <c r="AK96" s="1" t="s">
        <v>182</v>
      </c>
      <c r="AL96" s="113">
        <f t="shared" ref="AL96" si="43">IF(OR(EXACT(AK96,$C$101),EXACT(AK96,$C$95),EXACT(AK96,$C$100),EXACT(AK96,$C$94),EXACT(AK96,$C$97),EXACT(AK96,$C$96),EXACT(AK96,$C$98),EXACT(AK96,$C$99),EXACT(AK96,$C$102),EXACT(AK96,$C$103),EXACT(AK96,$C$104),EXACT(AK96,$C$105),EXACT(AK96,$C$106),EXACT(AK96,$C$107),EXACT(AK96,$C$108),EXACT(AK96,$C$93)),2,0)</f>
        <v>0</v>
      </c>
      <c r="AM96" s="1" t="s">
        <v>172</v>
      </c>
      <c r="AN96" s="113">
        <f t="shared" ref="AN96" si="44">IF(OR(EXACT(AM96,$C$101),EXACT(AM96,$C$95),EXACT(AM96,$C$100),EXACT(AM96,$C$94),EXACT(AM96,$C$97),EXACT(AM96,$C$96),EXACT(AM96,$C$98),EXACT(AM96,$C$99),EXACT(AM96,$C$102),EXACT(AM96,$C$103),EXACT(AM96,$C$104),EXACT(AM96,$C$105),EXACT(AM96,$C$106),EXACT(AM96,$C$107),EXACT(AM96,$C$108),EXACT(AM96,$C$93)),2,0)</f>
        <v>0</v>
      </c>
      <c r="AO96" s="1" t="s">
        <v>176</v>
      </c>
      <c r="AP96" s="113">
        <f t="shared" ref="AP96" si="45">IF(OR(EXACT(AO96,$C$101),EXACT(AO96,$C$95),EXACT(AO96,$C$100),EXACT(AO96,$C$94),EXACT(AO96,$C$97),EXACT(AO96,$C$96),EXACT(AO96,$C$98),EXACT(AO96,$C$99),EXACT(AO96,$C$102),EXACT(AO96,$C$103),EXACT(AO96,$C$104),EXACT(AO96,$C$105),EXACT(AO96,$C$106),EXACT(AO96,$C$107),EXACT(AO96,$C$108),EXACT(AO96,$C$93)),2,0)</f>
        <v>0</v>
      </c>
      <c r="AQ96" s="1" t="s">
        <v>172</v>
      </c>
      <c r="AR96" s="113">
        <f t="shared" ref="AR96" si="46">IF(OR(EXACT(AQ96,$C$101),EXACT(AQ96,$C$95),EXACT(AQ96,$C$100),EXACT(AQ96,$C$94),EXACT(AQ96,$C$97),EXACT(AQ96,$C$96),EXACT(AQ96,$C$98),EXACT(AQ96,$C$99),EXACT(AQ96,$C$102),EXACT(AQ96,$C$103),EXACT(AQ96,$C$104),EXACT(AQ96,$C$105),EXACT(AQ96,$C$106),EXACT(AQ96,$C$107),EXACT(AQ96,$C$108),EXACT(AQ96,$C$93)),2,0)</f>
        <v>0</v>
      </c>
    </row>
    <row r="97" spans="1:64" ht="12.75" customHeight="1">
      <c r="A97" s="23"/>
      <c r="B97" s="16"/>
      <c r="C97" s="16"/>
      <c r="D97" s="87"/>
      <c r="E97" s="1" t="s">
        <v>167</v>
      </c>
      <c r="F97" s="113">
        <f t="shared" si="0"/>
        <v>0</v>
      </c>
      <c r="G97" s="1" t="s">
        <v>168</v>
      </c>
      <c r="H97" s="113">
        <f t="shared" si="1"/>
        <v>0</v>
      </c>
      <c r="I97" s="1" t="s">
        <v>170</v>
      </c>
      <c r="J97" s="113">
        <f t="shared" si="2"/>
        <v>0</v>
      </c>
      <c r="K97" s="1" t="s">
        <v>168</v>
      </c>
      <c r="L97" s="113">
        <f t="shared" si="3"/>
        <v>0</v>
      </c>
      <c r="M97" s="1" t="s">
        <v>169</v>
      </c>
      <c r="N97" s="113">
        <f t="shared" si="4"/>
        <v>0</v>
      </c>
      <c r="O97" s="112" t="s">
        <v>169</v>
      </c>
      <c r="P97" s="113">
        <f t="shared" si="4"/>
        <v>0</v>
      </c>
      <c r="Q97" s="1" t="s">
        <v>157</v>
      </c>
      <c r="R97" s="113">
        <f t="shared" ref="R97" si="47">IF(OR(EXACT(Q97,$C$101),EXACT(Q97,$C$95),EXACT(Q97,$C$100),EXACT(Q97,$C$94),EXACT(Q97,$C$97),EXACT(Q97,$C$96),EXACT(Q97,$C$98),EXACT(Q97,$C$99),EXACT(Q97,$C$102),EXACT(Q97,$C$103),EXACT(Q97,$C$104),EXACT(Q97,$C$105),EXACT(Q97,$C$106),EXACT(Q97,$C$107),EXACT(Q97,$C$108),EXACT(Q97,$C$93)),2,0)</f>
        <v>0</v>
      </c>
      <c r="S97" s="1" t="s">
        <v>162</v>
      </c>
      <c r="T97" s="113">
        <f t="shared" ref="T97" si="48">IF(OR(EXACT(S97,$C$101),EXACT(S97,$C$95),EXACT(S97,$C$100),EXACT(S97,$C$94),EXACT(S97,$C$97),EXACT(S97,$C$96),EXACT(S97,$C$98),EXACT(S97,$C$99),EXACT(S97,$C$102),EXACT(S97,$C$103),EXACT(S97,$C$104),EXACT(S97,$C$105),EXACT(S97,$C$106),EXACT(S97,$C$107),EXACT(S97,$C$108),EXACT(S97,$C$93)),2,0)</f>
        <v>0</v>
      </c>
      <c r="U97" s="1" t="s">
        <v>169</v>
      </c>
      <c r="V97" s="113">
        <f t="shared" ref="V97" si="49">IF(OR(EXACT(U97,$C$101),EXACT(U97,$C$95),EXACT(U97,$C$100),EXACT(U97,$C$94),EXACT(U97,$C$97),EXACT(U97,$C$96),EXACT(U97,$C$98),EXACT(U97,$C$99),EXACT(U97,$C$102),EXACT(U97,$C$103),EXACT(U97,$C$104),EXACT(U97,$C$105),EXACT(U97,$C$106),EXACT(U97,$C$107),EXACT(U97,$C$108),EXACT(U97,$C$93)),2,0)</f>
        <v>0</v>
      </c>
      <c r="W97" s="1" t="s">
        <v>168</v>
      </c>
      <c r="X97" s="113">
        <f t="shared" ref="X97" si="50">IF(OR(EXACT(W97,$C$101),EXACT(W97,$C$95),EXACT(W97,$C$100),EXACT(W97,$C$94),EXACT(W97,$C$97),EXACT(W97,$C$96),EXACT(W97,$C$98),EXACT(W97,$C$99),EXACT(W97,$C$102),EXACT(W97,$C$103),EXACT(W97,$C$104),EXACT(W97,$C$105),EXACT(W97,$C$106),EXACT(W97,$C$107),EXACT(W97,$C$108),EXACT(W97,$C$93)),2,0)</f>
        <v>0</v>
      </c>
      <c r="Y97" s="1" t="s">
        <v>167</v>
      </c>
      <c r="Z97" s="113">
        <f t="shared" ref="Z97" si="51">IF(OR(EXACT(Y97,$C$101),EXACT(Y97,$C$95),EXACT(Y97,$C$100),EXACT(Y97,$C$94),EXACT(Y97,$C$97),EXACT(Y97,$C$96),EXACT(Y97,$C$98),EXACT(Y97,$C$99),EXACT(Y97,$C$102),EXACT(Y97,$C$103),EXACT(Y97,$C$104),EXACT(Y97,$C$105),EXACT(Y97,$C$106),EXACT(Y97,$C$107),EXACT(Y97,$C$108),EXACT(Y97,$C$93)),2,0)</f>
        <v>0</v>
      </c>
      <c r="AA97" s="112" t="s">
        <v>162</v>
      </c>
      <c r="AB97" s="113">
        <f t="shared" ref="AB97" si="52">IF(OR(EXACT(AA97,$C$101),EXACT(AA97,$C$95),EXACT(AA97,$C$100),EXACT(AA97,$C$94),EXACT(AA97,$C$97),EXACT(AA97,$C$96),EXACT(AA97,$C$98),EXACT(AA97,$C$99),EXACT(AA97,$C$102),EXACT(AA97,$C$103),EXACT(AA97,$C$104),EXACT(AA97,$C$105),EXACT(AA97,$C$106),EXACT(AA97,$C$107),EXACT(AA97,$C$108),EXACT(AA97,$C$93)),2,0)</f>
        <v>0</v>
      </c>
      <c r="AC97" s="1" t="s">
        <v>168</v>
      </c>
      <c r="AD97" s="113">
        <f t="shared" ref="AD97" si="53">IF(OR(EXACT(AC97,$C$101),EXACT(AC97,$C$95),EXACT(AC97,$C$100),EXACT(AC97,$C$94),EXACT(AC97,$C$97),EXACT(AC97,$C$96),EXACT(AC97,$C$98),EXACT(AC97,$C$99),EXACT(AC97,$C$102),EXACT(AC97,$C$103),EXACT(AC97,$C$104),EXACT(AC97,$C$105),EXACT(AC97,$C$106),EXACT(AC97,$C$107),EXACT(AC97,$C$108),EXACT(AC97,$C$93)),2,0)</f>
        <v>0</v>
      </c>
      <c r="AE97" s="1" t="s">
        <v>168</v>
      </c>
      <c r="AF97" s="113">
        <f t="shared" ref="AF97" si="54">IF(OR(EXACT(AE97,$C$101),EXACT(AE97,$C$95),EXACT(AE97,$C$100),EXACT(AE97,$C$94),EXACT(AE97,$C$97),EXACT(AE97,$C$96),EXACT(AE97,$C$98),EXACT(AE97,$C$99),EXACT(AE97,$C$102),EXACT(AE97,$C$103),EXACT(AE97,$C$104),EXACT(AE97,$C$105),EXACT(AE97,$C$106),EXACT(AE97,$C$107),EXACT(AE97,$C$108),EXACT(AE97,$C$93)),2,0)</f>
        <v>0</v>
      </c>
      <c r="AG97" s="1" t="s">
        <v>168</v>
      </c>
      <c r="AH97" s="113">
        <f t="shared" ref="AH97" si="55">IF(OR(EXACT(AG97,$C$101),EXACT(AG97,$C$95),EXACT(AG97,$C$100),EXACT(AG97,$C$94),EXACT(AG97,$C$97),EXACT(AG97,$C$96),EXACT(AG97,$C$98),EXACT(AG97,$C$99),EXACT(AG97,$C$102),EXACT(AG97,$C$103),EXACT(AG97,$C$104),EXACT(AG97,$C$105),EXACT(AG97,$C$106),EXACT(AG97,$C$107),EXACT(AG97,$C$108),EXACT(AG97,$C$93)),2,0)</f>
        <v>0</v>
      </c>
      <c r="AI97" s="1" t="s">
        <v>168</v>
      </c>
      <c r="AJ97" s="113">
        <f t="shared" ref="AJ97" si="56">IF(OR(EXACT(AI97,$C$101),EXACT(AI97,$C$95),EXACT(AI97,$C$100),EXACT(AI97,$C$94),EXACT(AI97,$C$97),EXACT(AI97,$C$96),EXACT(AI97,$C$98),EXACT(AI97,$C$99),EXACT(AI97,$C$102),EXACT(AI97,$C$103),EXACT(AI97,$C$104),EXACT(AI97,$C$105),EXACT(AI97,$C$106),EXACT(AI97,$C$107),EXACT(AI97,$C$108),EXACT(AI97,$C$93)),2,0)</f>
        <v>0</v>
      </c>
      <c r="AK97" s="1" t="s">
        <v>183</v>
      </c>
      <c r="AL97" s="113">
        <f t="shared" ref="AL97" si="57">IF(OR(EXACT(AK97,$C$101),EXACT(AK97,$C$95),EXACT(AK97,$C$100),EXACT(AK97,$C$94),EXACT(AK97,$C$97),EXACT(AK97,$C$96),EXACT(AK97,$C$98),EXACT(AK97,$C$99),EXACT(AK97,$C$102),EXACT(AK97,$C$103),EXACT(AK97,$C$104),EXACT(AK97,$C$105),EXACT(AK97,$C$106),EXACT(AK97,$C$107),EXACT(AK97,$C$108),EXACT(AK97,$C$93)),2,0)</f>
        <v>0</v>
      </c>
      <c r="AM97" s="1" t="s">
        <v>168</v>
      </c>
      <c r="AN97" s="113">
        <f t="shared" ref="AN97" si="58">IF(OR(EXACT(AM97,$C$101),EXACT(AM97,$C$95),EXACT(AM97,$C$100),EXACT(AM97,$C$94),EXACT(AM97,$C$97),EXACT(AM97,$C$96),EXACT(AM97,$C$98),EXACT(AM97,$C$99),EXACT(AM97,$C$102),EXACT(AM97,$C$103),EXACT(AM97,$C$104),EXACT(AM97,$C$105),EXACT(AM97,$C$106),EXACT(AM97,$C$107),EXACT(AM97,$C$108),EXACT(AM97,$C$93)),2,0)</f>
        <v>0</v>
      </c>
      <c r="AO97" s="1" t="s">
        <v>167</v>
      </c>
      <c r="AP97" s="113">
        <f t="shared" ref="AP97" si="59">IF(OR(EXACT(AO97,$C$101),EXACT(AO97,$C$95),EXACT(AO97,$C$100),EXACT(AO97,$C$94),EXACT(AO97,$C$97),EXACT(AO97,$C$96),EXACT(AO97,$C$98),EXACT(AO97,$C$99),EXACT(AO97,$C$102),EXACT(AO97,$C$103),EXACT(AO97,$C$104),EXACT(AO97,$C$105),EXACT(AO97,$C$106),EXACT(AO97,$C$107),EXACT(AO97,$C$108),EXACT(AO97,$C$93)),2,0)</f>
        <v>0</v>
      </c>
      <c r="AQ97" s="1" t="s">
        <v>167</v>
      </c>
      <c r="AR97" s="113">
        <f t="shared" ref="AR97" si="60">IF(OR(EXACT(AQ97,$C$101),EXACT(AQ97,$C$95),EXACT(AQ97,$C$100),EXACT(AQ97,$C$94),EXACT(AQ97,$C$97),EXACT(AQ97,$C$96),EXACT(AQ97,$C$98),EXACT(AQ97,$C$99),EXACT(AQ97,$C$102),EXACT(AQ97,$C$103),EXACT(AQ97,$C$104),EXACT(AQ97,$C$105),EXACT(AQ97,$C$106),EXACT(AQ97,$C$107),EXACT(AQ97,$C$108),EXACT(AQ97,$C$93)),2,0)</f>
        <v>0</v>
      </c>
    </row>
    <row r="98" spans="1:64" ht="12.75" customHeight="1">
      <c r="A98" s="23"/>
      <c r="B98" s="16"/>
      <c r="C98" s="16"/>
      <c r="D98" s="87"/>
      <c r="E98" s="1" t="s">
        <v>168</v>
      </c>
      <c r="F98" s="113">
        <f t="shared" si="0"/>
        <v>0</v>
      </c>
      <c r="G98" s="1" t="s">
        <v>171</v>
      </c>
      <c r="H98" s="113">
        <f t="shared" si="1"/>
        <v>0</v>
      </c>
      <c r="I98" s="1" t="s">
        <v>184</v>
      </c>
      <c r="J98" s="113">
        <f t="shared" si="2"/>
        <v>0</v>
      </c>
      <c r="K98" s="1" t="s">
        <v>185</v>
      </c>
      <c r="L98" s="113">
        <f t="shared" si="3"/>
        <v>0</v>
      </c>
      <c r="M98" s="1" t="s">
        <v>168</v>
      </c>
      <c r="N98" s="113">
        <f t="shared" si="4"/>
        <v>0</v>
      </c>
      <c r="O98" s="112" t="s">
        <v>186</v>
      </c>
      <c r="P98" s="113">
        <f t="shared" si="4"/>
        <v>0</v>
      </c>
      <c r="Q98" s="1" t="s">
        <v>183</v>
      </c>
      <c r="R98" s="113">
        <f t="shared" ref="R98" si="61">IF(OR(EXACT(Q98,$C$101),EXACT(Q98,$C$95),EXACT(Q98,$C$100),EXACT(Q98,$C$94),EXACT(Q98,$C$97),EXACT(Q98,$C$96),EXACT(Q98,$C$98),EXACT(Q98,$C$99),EXACT(Q98,$C$102),EXACT(Q98,$C$103),EXACT(Q98,$C$104),EXACT(Q98,$C$105),EXACT(Q98,$C$106),EXACT(Q98,$C$107),EXACT(Q98,$C$108),EXACT(Q98,$C$93)),2,0)</f>
        <v>0</v>
      </c>
      <c r="S98" s="1" t="s">
        <v>187</v>
      </c>
      <c r="T98" s="113">
        <f t="shared" ref="T98" si="62">IF(OR(EXACT(S98,$C$101),EXACT(S98,$C$95),EXACT(S98,$C$100),EXACT(S98,$C$94),EXACT(S98,$C$97),EXACT(S98,$C$96),EXACT(S98,$C$98),EXACT(S98,$C$99),EXACT(S98,$C$102),EXACT(S98,$C$103),EXACT(S98,$C$104),EXACT(S98,$C$105),EXACT(S98,$C$106),EXACT(S98,$C$107),EXACT(S98,$C$108),EXACT(S98,$C$93)),2,0)</f>
        <v>0</v>
      </c>
      <c r="U98" s="1" t="s">
        <v>168</v>
      </c>
      <c r="V98" s="113">
        <f t="shared" ref="V98" si="63">IF(OR(EXACT(U98,$C$101),EXACT(U98,$C$95),EXACT(U98,$C$100),EXACT(U98,$C$94),EXACT(U98,$C$97),EXACT(U98,$C$96),EXACT(U98,$C$98),EXACT(U98,$C$99),EXACT(U98,$C$102),EXACT(U98,$C$103),EXACT(U98,$C$104),EXACT(U98,$C$105),EXACT(U98,$C$106),EXACT(U98,$C$107),EXACT(U98,$C$108),EXACT(U98,$C$93)),2,0)</f>
        <v>0</v>
      </c>
      <c r="W98" s="1" t="s">
        <v>169</v>
      </c>
      <c r="X98" s="113">
        <f t="shared" ref="X98" si="64">IF(OR(EXACT(W98,$C$101),EXACT(W98,$C$95),EXACT(W98,$C$100),EXACT(W98,$C$94),EXACT(W98,$C$97),EXACT(W98,$C$96),EXACT(W98,$C$98),EXACT(W98,$C$99),EXACT(W98,$C$102),EXACT(W98,$C$103),EXACT(W98,$C$104),EXACT(W98,$C$105),EXACT(W98,$C$106),EXACT(W98,$C$107),EXACT(W98,$C$108),EXACT(W98,$C$93)),2,0)</f>
        <v>0</v>
      </c>
      <c r="Y98" s="1" t="s">
        <v>164</v>
      </c>
      <c r="Z98" s="113">
        <f t="shared" ref="Z98" si="65">IF(OR(EXACT(Y98,$C$101),EXACT(Y98,$C$95),EXACT(Y98,$C$100),EXACT(Y98,$C$94),EXACT(Y98,$C$97),EXACT(Y98,$C$96),EXACT(Y98,$C$98),EXACT(Y98,$C$99),EXACT(Y98,$C$102),EXACT(Y98,$C$103),EXACT(Y98,$C$104),EXACT(Y98,$C$105),EXACT(Y98,$C$106),EXACT(Y98,$C$107),EXACT(Y98,$C$108),EXACT(Y98,$C$93)),2,0)</f>
        <v>0</v>
      </c>
      <c r="AA98" s="112" t="s">
        <v>184</v>
      </c>
      <c r="AB98" s="113">
        <f t="shared" ref="AB98" si="66">IF(OR(EXACT(AA98,$C$101),EXACT(AA98,$C$95),EXACT(AA98,$C$100),EXACT(AA98,$C$94),EXACT(AA98,$C$97),EXACT(AA98,$C$96),EXACT(AA98,$C$98),EXACT(AA98,$C$99),EXACT(AA98,$C$102),EXACT(AA98,$C$103),EXACT(AA98,$C$104),EXACT(AA98,$C$105),EXACT(AA98,$C$106),EXACT(AA98,$C$107),EXACT(AA98,$C$108),EXACT(AA98,$C$93)),2,0)</f>
        <v>0</v>
      </c>
      <c r="AC98" s="1" t="s">
        <v>171</v>
      </c>
      <c r="AD98" s="113">
        <f t="shared" ref="AD98" si="67">IF(OR(EXACT(AC98,$C$101),EXACT(AC98,$C$95),EXACT(AC98,$C$100),EXACT(AC98,$C$94),EXACT(AC98,$C$97),EXACT(AC98,$C$96),EXACT(AC98,$C$98),EXACT(AC98,$C$99),EXACT(AC98,$C$102),EXACT(AC98,$C$103),EXACT(AC98,$C$104),EXACT(AC98,$C$105),EXACT(AC98,$C$106),EXACT(AC98,$C$107),EXACT(AC98,$C$108),EXACT(AC98,$C$93)),2,0)</f>
        <v>0</v>
      </c>
      <c r="AE98" s="1" t="s">
        <v>177</v>
      </c>
      <c r="AF98" s="113">
        <f t="shared" ref="AF98" si="68">IF(OR(EXACT(AE98,$C$101),EXACT(AE98,$C$95),EXACT(AE98,$C$100),EXACT(AE98,$C$94),EXACT(AE98,$C$97),EXACT(AE98,$C$96),EXACT(AE98,$C$98),EXACT(AE98,$C$99),EXACT(AE98,$C$102),EXACT(AE98,$C$103),EXACT(AE98,$C$104),EXACT(AE98,$C$105),EXACT(AE98,$C$106),EXACT(AE98,$C$107),EXACT(AE98,$C$108),EXACT(AE98,$C$93)),2,0)</f>
        <v>0</v>
      </c>
      <c r="AG98" s="1" t="s">
        <v>177</v>
      </c>
      <c r="AH98" s="113">
        <f t="shared" ref="AH98" si="69">IF(OR(EXACT(AG98,$C$101),EXACT(AG98,$C$95),EXACT(AG98,$C$100),EXACT(AG98,$C$94),EXACT(AG98,$C$97),EXACT(AG98,$C$96),EXACT(AG98,$C$98),EXACT(AG98,$C$99),EXACT(AG98,$C$102),EXACT(AG98,$C$103),EXACT(AG98,$C$104),EXACT(AG98,$C$105),EXACT(AG98,$C$106),EXACT(AG98,$C$107),EXACT(AG98,$C$108),EXACT(AG98,$C$93)),2,0)</f>
        <v>0</v>
      </c>
      <c r="AI98" s="1" t="s">
        <v>163</v>
      </c>
      <c r="AJ98" s="113">
        <f t="shared" ref="AJ98" si="70">IF(OR(EXACT(AI98,$C$101),EXACT(AI98,$C$95),EXACT(AI98,$C$100),EXACT(AI98,$C$94),EXACT(AI98,$C$97),EXACT(AI98,$C$96),EXACT(AI98,$C$98),EXACT(AI98,$C$99),EXACT(AI98,$C$102),EXACT(AI98,$C$103),EXACT(AI98,$C$104),EXACT(AI98,$C$105),EXACT(AI98,$C$106),EXACT(AI98,$C$107),EXACT(AI98,$C$108),EXACT(AI98,$C$93)),2,0)</f>
        <v>0</v>
      </c>
      <c r="AK98" s="1" t="s">
        <v>170</v>
      </c>
      <c r="AL98" s="113">
        <f t="shared" ref="AL98" si="71">IF(OR(EXACT(AK98,$C$101),EXACT(AK98,$C$95),EXACT(AK98,$C$100),EXACT(AK98,$C$94),EXACT(AK98,$C$97),EXACT(AK98,$C$96),EXACT(AK98,$C$98),EXACT(AK98,$C$99),EXACT(AK98,$C$102),EXACT(AK98,$C$103),EXACT(AK98,$C$104),EXACT(AK98,$C$105),EXACT(AK98,$C$106),EXACT(AK98,$C$107),EXACT(AK98,$C$108),EXACT(AK98,$C$93)),2,0)</f>
        <v>0</v>
      </c>
      <c r="AM98" s="1" t="s">
        <v>177</v>
      </c>
      <c r="AN98" s="113">
        <f t="shared" ref="AN98" si="72">IF(OR(EXACT(AM98,$C$101),EXACT(AM98,$C$95),EXACT(AM98,$C$100),EXACT(AM98,$C$94),EXACT(AM98,$C$97),EXACT(AM98,$C$96),EXACT(AM98,$C$98),EXACT(AM98,$C$99),EXACT(AM98,$C$102),EXACT(AM98,$C$103),EXACT(AM98,$C$104),EXACT(AM98,$C$105),EXACT(AM98,$C$106),EXACT(AM98,$C$107),EXACT(AM98,$C$108),EXACT(AM98,$C$93)),2,0)</f>
        <v>0</v>
      </c>
      <c r="AO98" s="1" t="s">
        <v>172</v>
      </c>
      <c r="AP98" s="113">
        <f t="shared" ref="AP98" si="73">IF(OR(EXACT(AO98,$C$101),EXACT(AO98,$C$95),EXACT(AO98,$C$100),EXACT(AO98,$C$94),EXACT(AO98,$C$97),EXACT(AO98,$C$96),EXACT(AO98,$C$98),EXACT(AO98,$C$99),EXACT(AO98,$C$102),EXACT(AO98,$C$103),EXACT(AO98,$C$104),EXACT(AO98,$C$105),EXACT(AO98,$C$106),EXACT(AO98,$C$107),EXACT(AO98,$C$108),EXACT(AO98,$C$93)),2,0)</f>
        <v>0</v>
      </c>
      <c r="AQ98" s="1" t="s">
        <v>185</v>
      </c>
      <c r="AR98" s="113">
        <f t="shared" ref="AR98" si="74">IF(OR(EXACT(AQ98,$C$101),EXACT(AQ98,$C$95),EXACT(AQ98,$C$100),EXACT(AQ98,$C$94),EXACT(AQ98,$C$97),EXACT(AQ98,$C$96),EXACT(AQ98,$C$98),EXACT(AQ98,$C$99),EXACT(AQ98,$C$102),EXACT(AQ98,$C$103),EXACT(AQ98,$C$104),EXACT(AQ98,$C$105),EXACT(AQ98,$C$106),EXACT(AQ98,$C$107),EXACT(AQ98,$C$108),EXACT(AQ98,$C$93)),2,0)</f>
        <v>0</v>
      </c>
    </row>
    <row r="99" spans="1:64" ht="12.75" customHeight="1">
      <c r="A99" s="23"/>
      <c r="B99" s="16"/>
      <c r="C99" s="16"/>
      <c r="D99" s="87"/>
      <c r="E99" s="1" t="s">
        <v>171</v>
      </c>
      <c r="F99" s="113">
        <f t="shared" si="0"/>
        <v>0</v>
      </c>
      <c r="G99" s="1" t="s">
        <v>170</v>
      </c>
      <c r="H99" s="113">
        <f t="shared" si="1"/>
        <v>0</v>
      </c>
      <c r="I99" s="1" t="s">
        <v>183</v>
      </c>
      <c r="J99" s="113">
        <f t="shared" si="2"/>
        <v>0</v>
      </c>
      <c r="K99" s="1" t="s">
        <v>172</v>
      </c>
      <c r="L99" s="113">
        <f t="shared" si="3"/>
        <v>0</v>
      </c>
      <c r="M99" s="1" t="s">
        <v>177</v>
      </c>
      <c r="N99" s="113">
        <f t="shared" si="4"/>
        <v>0</v>
      </c>
      <c r="O99" s="112" t="s">
        <v>157</v>
      </c>
      <c r="P99" s="113">
        <f t="shared" si="4"/>
        <v>0</v>
      </c>
      <c r="Q99" s="1" t="s">
        <v>170</v>
      </c>
      <c r="R99" s="113">
        <f t="shared" ref="R99" si="75">IF(OR(EXACT(Q99,$C$101),EXACT(Q99,$C$95),EXACT(Q99,$C$100),EXACT(Q99,$C$94),EXACT(Q99,$C$97),EXACT(Q99,$C$96),EXACT(Q99,$C$98),EXACT(Q99,$C$99),EXACT(Q99,$C$102),EXACT(Q99,$C$103),EXACT(Q99,$C$104),EXACT(Q99,$C$105),EXACT(Q99,$C$106),EXACT(Q99,$C$107),EXACT(Q99,$C$108),EXACT(Q99,$C$93)),2,0)</f>
        <v>0</v>
      </c>
      <c r="S99" s="1" t="s">
        <v>167</v>
      </c>
      <c r="T99" s="113">
        <f t="shared" ref="T99" si="76">IF(OR(EXACT(S99,$C$101),EXACT(S99,$C$95),EXACT(S99,$C$100),EXACT(S99,$C$94),EXACT(S99,$C$97),EXACT(S99,$C$96),EXACT(S99,$C$98),EXACT(S99,$C$99),EXACT(S99,$C$102),EXACT(S99,$C$103),EXACT(S99,$C$104),EXACT(S99,$C$105),EXACT(S99,$C$106),EXACT(S99,$C$107),EXACT(S99,$C$108),EXACT(S99,$C$93)),2,0)</f>
        <v>0</v>
      </c>
      <c r="U99" s="1" t="s">
        <v>177</v>
      </c>
      <c r="V99" s="113">
        <f t="shared" ref="V99" si="77">IF(OR(EXACT(U99,$C$101),EXACT(U99,$C$95),EXACT(U99,$C$100),EXACT(U99,$C$94),EXACT(U99,$C$97),EXACT(U99,$C$96),EXACT(U99,$C$98),EXACT(U99,$C$99),EXACT(U99,$C$102),EXACT(U99,$C$103),EXACT(U99,$C$104),EXACT(U99,$C$105),EXACT(U99,$C$106),EXACT(U99,$C$107),EXACT(U99,$C$108),EXACT(U99,$C$93)),2,0)</f>
        <v>0</v>
      </c>
      <c r="W99" s="1" t="s">
        <v>167</v>
      </c>
      <c r="X99" s="113">
        <f t="shared" ref="X99" si="78">IF(OR(EXACT(W99,$C$101),EXACT(W99,$C$95),EXACT(W99,$C$100),EXACT(W99,$C$94),EXACT(W99,$C$97),EXACT(W99,$C$96),EXACT(W99,$C$98),EXACT(W99,$C$99),EXACT(W99,$C$102),EXACT(W99,$C$103),EXACT(W99,$C$104),EXACT(W99,$C$105),EXACT(W99,$C$106),EXACT(W99,$C$107),EXACT(W99,$C$108),EXACT(W99,$C$93)),2,0)</f>
        <v>0</v>
      </c>
      <c r="Y99" s="1" t="s">
        <v>168</v>
      </c>
      <c r="Z99" s="113">
        <f t="shared" ref="Z99" si="79">IF(OR(EXACT(Y99,$C$101),EXACT(Y99,$C$95),EXACT(Y99,$C$100),EXACT(Y99,$C$94),EXACT(Y99,$C$97),EXACT(Y99,$C$96),EXACT(Y99,$C$98),EXACT(Y99,$C$99),EXACT(Y99,$C$102),EXACT(Y99,$C$103),EXACT(Y99,$C$104),EXACT(Y99,$C$105),EXACT(Y99,$C$106),EXACT(Y99,$C$107),EXACT(Y99,$C$108),EXACT(Y99,$C$93)),2,0)</f>
        <v>0</v>
      </c>
      <c r="AA99" s="112" t="s">
        <v>183</v>
      </c>
      <c r="AB99" s="113">
        <f t="shared" ref="AB99" si="80">IF(OR(EXACT(AA99,$C$101),EXACT(AA99,$C$95),EXACT(AA99,$C$100),EXACT(AA99,$C$94),EXACT(AA99,$C$97),EXACT(AA99,$C$96),EXACT(AA99,$C$98),EXACT(AA99,$C$99),EXACT(AA99,$C$102),EXACT(AA99,$C$103),EXACT(AA99,$C$104),EXACT(AA99,$C$105),EXACT(AA99,$C$106),EXACT(AA99,$C$107),EXACT(AA99,$C$108),EXACT(AA99,$C$93)),2,0)</f>
        <v>0</v>
      </c>
      <c r="AC99" s="1" t="s">
        <v>170</v>
      </c>
      <c r="AD99" s="113">
        <f t="shared" ref="AD99" si="81">IF(OR(EXACT(AC99,$C$101),EXACT(AC99,$C$95),EXACT(AC99,$C$100),EXACT(AC99,$C$94),EXACT(AC99,$C$97),EXACT(AC99,$C$96),EXACT(AC99,$C$98),EXACT(AC99,$C$99),EXACT(AC99,$C$102),EXACT(AC99,$C$103),EXACT(AC99,$C$104),EXACT(AC99,$C$105),EXACT(AC99,$C$106),EXACT(AC99,$C$107),EXACT(AC99,$C$108),EXACT(AC99,$C$93)),2,0)</f>
        <v>0</v>
      </c>
      <c r="AE99" s="1" t="s">
        <v>170</v>
      </c>
      <c r="AF99" s="113">
        <f t="shared" ref="AF99" si="82">IF(OR(EXACT(AE99,$C$101),EXACT(AE99,$C$95),EXACT(AE99,$C$100),EXACT(AE99,$C$94),EXACT(AE99,$C$97),EXACT(AE99,$C$96),EXACT(AE99,$C$98),EXACT(AE99,$C$99),EXACT(AE99,$C$102),EXACT(AE99,$C$103),EXACT(AE99,$C$104),EXACT(AE99,$C$105),EXACT(AE99,$C$106),EXACT(AE99,$C$107),EXACT(AE99,$C$108),EXACT(AE99,$C$93)),2,0)</f>
        <v>0</v>
      </c>
      <c r="AG99" s="1" t="s">
        <v>170</v>
      </c>
      <c r="AH99" s="113">
        <f t="shared" ref="AH99" si="83">IF(OR(EXACT(AG99,$C$101),EXACT(AG99,$C$95),EXACT(AG99,$C$100),EXACT(AG99,$C$94),EXACT(AG99,$C$97),EXACT(AG99,$C$96),EXACT(AG99,$C$98),EXACT(AG99,$C$99),EXACT(AG99,$C$102),EXACT(AG99,$C$103),EXACT(AG99,$C$104),EXACT(AG99,$C$105),EXACT(AG99,$C$106),EXACT(AG99,$C$107),EXACT(AG99,$C$108),EXACT(AG99,$C$93)),2,0)</f>
        <v>0</v>
      </c>
      <c r="AI99" s="1" t="s">
        <v>167</v>
      </c>
      <c r="AJ99" s="113">
        <f t="shared" ref="AJ99" si="84">IF(OR(EXACT(AI99,$C$101),EXACT(AI99,$C$95),EXACT(AI99,$C$100),EXACT(AI99,$C$94),EXACT(AI99,$C$97),EXACT(AI99,$C$96),EXACT(AI99,$C$98),EXACT(AI99,$C$99),EXACT(AI99,$C$102),EXACT(AI99,$C$103),EXACT(AI99,$C$104),EXACT(AI99,$C$105),EXACT(AI99,$C$106),EXACT(AI99,$C$107),EXACT(AI99,$C$108),EXACT(AI99,$C$93)),2,0)</f>
        <v>0</v>
      </c>
      <c r="AK99" s="1" t="s">
        <v>168</v>
      </c>
      <c r="AL99" s="113">
        <f t="shared" ref="AL99" si="85">IF(OR(EXACT(AK99,$C$101),EXACT(AK99,$C$95),EXACT(AK99,$C$100),EXACT(AK99,$C$94),EXACT(AK99,$C$97),EXACT(AK99,$C$96),EXACT(AK99,$C$98),EXACT(AK99,$C$99),EXACT(AK99,$C$102),EXACT(AK99,$C$103),EXACT(AK99,$C$104),EXACT(AK99,$C$105),EXACT(AK99,$C$106),EXACT(AK99,$C$107),EXACT(AK99,$C$108),EXACT(AK99,$C$93)),2,0)</f>
        <v>0</v>
      </c>
      <c r="AM99" s="1" t="s">
        <v>170</v>
      </c>
      <c r="AN99" s="113">
        <f t="shared" ref="AN99" si="86">IF(OR(EXACT(AM99,$C$101),EXACT(AM99,$C$95),EXACT(AM99,$C$100),EXACT(AM99,$C$94),EXACT(AM99,$C$97),EXACT(AM99,$C$96),EXACT(AM99,$C$98),EXACT(AM99,$C$99),EXACT(AM99,$C$102),EXACT(AM99,$C$103),EXACT(AM99,$C$104),EXACT(AM99,$C$105),EXACT(AM99,$C$106),EXACT(AM99,$C$107),EXACT(AM99,$C$108),EXACT(AM99,$C$93)),2,0)</f>
        <v>0</v>
      </c>
      <c r="AO99" s="1" t="s">
        <v>184</v>
      </c>
      <c r="AP99" s="113">
        <f t="shared" ref="AP99" si="87">IF(OR(EXACT(AO99,$C$101),EXACT(AO99,$C$95),EXACT(AO99,$C$100),EXACT(AO99,$C$94),EXACT(AO99,$C$97),EXACT(AO99,$C$96),EXACT(AO99,$C$98),EXACT(AO99,$C$99),EXACT(AO99,$C$102),EXACT(AO99,$C$103),EXACT(AO99,$C$104),EXACT(AO99,$C$105),EXACT(AO99,$C$106),EXACT(AO99,$C$107),EXACT(AO99,$C$108),EXACT(AO99,$C$93)),2,0)</f>
        <v>0</v>
      </c>
      <c r="AQ99" s="1" t="s">
        <v>168</v>
      </c>
      <c r="AR99" s="113">
        <f t="shared" ref="AR99" si="88">IF(OR(EXACT(AQ99,$C$101),EXACT(AQ99,$C$95),EXACT(AQ99,$C$100),EXACT(AQ99,$C$94),EXACT(AQ99,$C$97),EXACT(AQ99,$C$96),EXACT(AQ99,$C$98),EXACT(AQ99,$C$99),EXACT(AQ99,$C$102),EXACT(AQ99,$C$103),EXACT(AQ99,$C$104),EXACT(AQ99,$C$105),EXACT(AQ99,$C$106),EXACT(AQ99,$C$107),EXACT(AQ99,$C$108),EXACT(AQ99,$C$93)),2,0)</f>
        <v>0</v>
      </c>
    </row>
    <row r="100" spans="1:64" ht="12.75" customHeight="1">
      <c r="A100" s="23"/>
      <c r="B100" s="16"/>
      <c r="C100" s="16"/>
      <c r="D100" s="87"/>
      <c r="E100" s="1" t="s">
        <v>177</v>
      </c>
      <c r="F100" s="113">
        <f t="shared" si="0"/>
        <v>0</v>
      </c>
      <c r="G100" s="1" t="s">
        <v>184</v>
      </c>
      <c r="H100" s="113">
        <f t="shared" si="1"/>
        <v>0</v>
      </c>
      <c r="I100" s="1" t="s">
        <v>182</v>
      </c>
      <c r="J100" s="113">
        <f t="shared" si="2"/>
        <v>0</v>
      </c>
      <c r="K100" s="1" t="s">
        <v>188</v>
      </c>
      <c r="L100" s="113">
        <f t="shared" si="3"/>
        <v>0</v>
      </c>
      <c r="M100" s="1" t="s">
        <v>171</v>
      </c>
      <c r="N100" s="113">
        <f t="shared" si="4"/>
        <v>0</v>
      </c>
      <c r="O100" s="112" t="s">
        <v>183</v>
      </c>
      <c r="P100" s="113">
        <f t="shared" si="4"/>
        <v>0</v>
      </c>
      <c r="Q100" s="1" t="s">
        <v>184</v>
      </c>
      <c r="R100" s="113">
        <f t="shared" ref="R100" si="89">IF(OR(EXACT(Q100,$C$101),EXACT(Q100,$C$95),EXACT(Q100,$C$100),EXACT(Q100,$C$94),EXACT(Q100,$C$97),EXACT(Q100,$C$96),EXACT(Q100,$C$98),EXACT(Q100,$C$99),EXACT(Q100,$C$102),EXACT(Q100,$C$103),EXACT(Q100,$C$104),EXACT(Q100,$C$105),EXACT(Q100,$C$106),EXACT(Q100,$C$107),EXACT(Q100,$C$108),EXACT(Q100,$C$93)),2,0)</f>
        <v>0</v>
      </c>
      <c r="S100" s="1" t="s">
        <v>172</v>
      </c>
      <c r="T100" s="113">
        <f t="shared" ref="T100" si="90">IF(OR(EXACT(S100,$C$101),EXACT(S100,$C$95),EXACT(S100,$C$100),EXACT(S100,$C$94),EXACT(S100,$C$97),EXACT(S100,$C$96),EXACT(S100,$C$98),EXACT(S100,$C$99),EXACT(S100,$C$102),EXACT(S100,$C$103),EXACT(S100,$C$104),EXACT(S100,$C$105),EXACT(S100,$C$106),EXACT(S100,$C$107),EXACT(S100,$C$108),EXACT(S100,$C$93)),2,0)</f>
        <v>0</v>
      </c>
      <c r="U100" s="1" t="s">
        <v>170</v>
      </c>
      <c r="V100" s="113">
        <f t="shared" ref="V100" si="91">IF(OR(EXACT(U100,$C$101),EXACT(U100,$C$95),EXACT(U100,$C$100),EXACT(U100,$C$94),EXACT(U100,$C$97),EXACT(U100,$C$96),EXACT(U100,$C$98),EXACT(U100,$C$99),EXACT(U100,$C$102),EXACT(U100,$C$103),EXACT(U100,$C$104),EXACT(U100,$C$105),EXACT(U100,$C$106),EXACT(U100,$C$107),EXACT(U100,$C$108),EXACT(U100,$C$93)),2,0)</f>
        <v>0</v>
      </c>
      <c r="W100" s="1" t="s">
        <v>188</v>
      </c>
      <c r="X100" s="113">
        <f t="shared" ref="X100" si="92">IF(OR(EXACT(W100,$C$101),EXACT(W100,$C$95),EXACT(W100,$C$100),EXACT(W100,$C$94),EXACT(W100,$C$97),EXACT(W100,$C$96),EXACT(W100,$C$98),EXACT(W100,$C$99),EXACT(W100,$C$102),EXACT(W100,$C$103),EXACT(W100,$C$104),EXACT(W100,$C$105),EXACT(W100,$C$106),EXACT(W100,$C$107),EXACT(W100,$C$108),EXACT(W100,$C$93)),2,0)</f>
        <v>0</v>
      </c>
      <c r="Y100" s="1" t="s">
        <v>185</v>
      </c>
      <c r="Z100" s="113">
        <f t="shared" ref="Z100" si="93">IF(OR(EXACT(Y100,$C$101),EXACT(Y100,$C$95),EXACT(Y100,$C$100),EXACT(Y100,$C$94),EXACT(Y100,$C$97),EXACT(Y100,$C$96),EXACT(Y100,$C$98),EXACT(Y100,$C$99),EXACT(Y100,$C$102),EXACT(Y100,$C$103),EXACT(Y100,$C$104),EXACT(Y100,$C$105),EXACT(Y100,$C$106),EXACT(Y100,$C$107),EXACT(Y100,$C$108),EXACT(Y100,$C$93)),2,0)</f>
        <v>0</v>
      </c>
      <c r="AA100" s="112" t="s">
        <v>186</v>
      </c>
      <c r="AB100" s="113">
        <f t="shared" ref="AB100" si="94">IF(OR(EXACT(AA100,$C$101),EXACT(AA100,$C$95),EXACT(AA100,$C$100),EXACT(AA100,$C$94),EXACT(AA100,$C$97),EXACT(AA100,$C$96),EXACT(AA100,$C$98),EXACT(AA100,$C$99),EXACT(AA100,$C$102),EXACT(AA100,$C$103),EXACT(AA100,$C$104),EXACT(AA100,$C$105),EXACT(AA100,$C$106),EXACT(AA100,$C$107),EXACT(AA100,$C$108),EXACT(AA100,$C$93)),2,0)</f>
        <v>0</v>
      </c>
      <c r="AC100" s="1" t="s">
        <v>184</v>
      </c>
      <c r="AD100" s="113">
        <f t="shared" ref="AD100" si="95">IF(OR(EXACT(AC100,$C$101),EXACT(AC100,$C$95),EXACT(AC100,$C$100),EXACT(AC100,$C$94),EXACT(AC100,$C$97),EXACT(AC100,$C$96),EXACT(AC100,$C$98),EXACT(AC100,$C$99),EXACT(AC100,$C$102),EXACT(AC100,$C$103),EXACT(AC100,$C$104),EXACT(AC100,$C$105),EXACT(AC100,$C$106),EXACT(AC100,$C$107),EXACT(AC100,$C$108),EXACT(AC100,$C$93)),2,0)</f>
        <v>0</v>
      </c>
      <c r="AE100" s="1" t="s">
        <v>184</v>
      </c>
      <c r="AF100" s="113">
        <f t="shared" ref="AF100" si="96">IF(OR(EXACT(AE100,$C$101),EXACT(AE100,$C$95),EXACT(AE100,$C$100),EXACT(AE100,$C$94),EXACT(AE100,$C$97),EXACT(AE100,$C$96),EXACT(AE100,$C$98),EXACT(AE100,$C$99),EXACT(AE100,$C$102),EXACT(AE100,$C$103),EXACT(AE100,$C$104),EXACT(AE100,$C$105),EXACT(AE100,$C$106),EXACT(AE100,$C$107),EXACT(AE100,$C$108),EXACT(AE100,$C$93)),2,0)</f>
        <v>0</v>
      </c>
      <c r="AG100" s="1" t="s">
        <v>184</v>
      </c>
      <c r="AH100" s="113">
        <f t="shared" ref="AH100" si="97">IF(OR(EXACT(AG100,$C$101),EXACT(AG100,$C$95),EXACT(AG100,$C$100),EXACT(AG100,$C$94),EXACT(AG100,$C$97),EXACT(AG100,$C$96),EXACT(AG100,$C$98),EXACT(AG100,$C$99),EXACT(AG100,$C$102),EXACT(AG100,$C$103),EXACT(AG100,$C$104),EXACT(AG100,$C$105),EXACT(AG100,$C$106),EXACT(AG100,$C$107),EXACT(AG100,$C$108),EXACT(AG100,$C$93)),2,0)</f>
        <v>0</v>
      </c>
      <c r="AI100" s="1" t="s">
        <v>164</v>
      </c>
      <c r="AJ100" s="113">
        <f t="shared" ref="AJ100" si="98">IF(OR(EXACT(AI100,$C$101),EXACT(AI100,$C$95),EXACT(AI100,$C$100),EXACT(AI100,$C$94),EXACT(AI100,$C$97),EXACT(AI100,$C$96),EXACT(AI100,$C$98),EXACT(AI100,$C$99),EXACT(AI100,$C$102),EXACT(AI100,$C$103),EXACT(AI100,$C$104),EXACT(AI100,$C$105),EXACT(AI100,$C$106),EXACT(AI100,$C$107),EXACT(AI100,$C$108),EXACT(AI100,$C$93)),2,0)</f>
        <v>0</v>
      </c>
      <c r="AK100" s="1" t="s">
        <v>166</v>
      </c>
      <c r="AL100" s="113">
        <f t="shared" ref="AL100" si="99">IF(OR(EXACT(AK100,$C$101),EXACT(AK100,$C$95),EXACT(AK100,$C$100),EXACT(AK100,$C$94),EXACT(AK100,$C$97),EXACT(AK100,$C$96),EXACT(AK100,$C$98),EXACT(AK100,$C$99),EXACT(AK100,$C$102),EXACT(AK100,$C$103),EXACT(AK100,$C$104),EXACT(AK100,$C$105),EXACT(AK100,$C$106),EXACT(AK100,$C$107),EXACT(AK100,$C$108),EXACT(AK100,$C$93)),2,0)</f>
        <v>0</v>
      </c>
      <c r="AM100" s="1" t="s">
        <v>184</v>
      </c>
      <c r="AN100" s="113">
        <f t="shared" ref="AN100" si="100">IF(OR(EXACT(AM100,$C$101),EXACT(AM100,$C$95),EXACT(AM100,$C$100),EXACT(AM100,$C$94),EXACT(AM100,$C$97),EXACT(AM100,$C$96),EXACT(AM100,$C$98),EXACT(AM100,$C$99),EXACT(AM100,$C$102),EXACT(AM100,$C$103),EXACT(AM100,$C$104),EXACT(AM100,$C$105),EXACT(AM100,$C$106),EXACT(AM100,$C$107),EXACT(AM100,$C$108),EXACT(AM100,$C$93)),2,0)</f>
        <v>0</v>
      </c>
      <c r="AO100" s="1" t="s">
        <v>183</v>
      </c>
      <c r="AP100" s="113">
        <f t="shared" ref="AP100" si="101">IF(OR(EXACT(AO100,$C$101),EXACT(AO100,$C$95),EXACT(AO100,$C$100),EXACT(AO100,$C$94),EXACT(AO100,$C$97),EXACT(AO100,$C$96),EXACT(AO100,$C$98),EXACT(AO100,$C$99),EXACT(AO100,$C$102),EXACT(AO100,$C$103),EXACT(AO100,$C$104),EXACT(AO100,$C$105),EXACT(AO100,$C$106),EXACT(AO100,$C$107),EXACT(AO100,$C$108),EXACT(AO100,$C$93)),2,0)</f>
        <v>0</v>
      </c>
      <c r="AQ100" s="1" t="s">
        <v>164</v>
      </c>
      <c r="AR100" s="113">
        <f t="shared" ref="AR100" si="102">IF(OR(EXACT(AQ100,$C$101),EXACT(AQ100,$C$95),EXACT(AQ100,$C$100),EXACT(AQ100,$C$94),EXACT(AQ100,$C$97),EXACT(AQ100,$C$96),EXACT(AQ100,$C$98),EXACT(AQ100,$C$99),EXACT(AQ100,$C$102),EXACT(AQ100,$C$103),EXACT(AQ100,$C$104),EXACT(AQ100,$C$105),EXACT(AQ100,$C$106),EXACT(AQ100,$C$107),EXACT(AQ100,$C$108),EXACT(AQ100,$C$93)),2,0)</f>
        <v>0</v>
      </c>
    </row>
    <row r="101" spans="1:64" ht="12.75" customHeight="1">
      <c r="C101" s="16"/>
      <c r="D101" s="87"/>
      <c r="E101" s="1" t="s">
        <v>184</v>
      </c>
      <c r="F101" s="113">
        <f t="shared" si="0"/>
        <v>0</v>
      </c>
      <c r="G101" s="1" t="s">
        <v>183</v>
      </c>
      <c r="H101" s="113">
        <f t="shared" si="1"/>
        <v>0</v>
      </c>
      <c r="I101" s="1" t="s">
        <v>176</v>
      </c>
      <c r="J101" s="113">
        <f t="shared" si="2"/>
        <v>0</v>
      </c>
      <c r="K101" s="1" t="s">
        <v>184</v>
      </c>
      <c r="L101" s="113">
        <f t="shared" si="3"/>
        <v>0</v>
      </c>
      <c r="M101" s="1" t="s">
        <v>188</v>
      </c>
      <c r="N101" s="113">
        <f t="shared" si="4"/>
        <v>0</v>
      </c>
      <c r="O101" s="112" t="s">
        <v>175</v>
      </c>
      <c r="P101" s="113">
        <f t="shared" si="4"/>
        <v>0</v>
      </c>
      <c r="Q101" s="1" t="s">
        <v>177</v>
      </c>
      <c r="R101" s="113">
        <f t="shared" ref="R101" si="103">IF(OR(EXACT(Q101,$C$101),EXACT(Q101,$C$95),EXACT(Q101,$C$100),EXACT(Q101,$C$94),EXACT(Q101,$C$97),EXACT(Q101,$C$96),EXACT(Q101,$C$98),EXACT(Q101,$C$99),EXACT(Q101,$C$102),EXACT(Q101,$C$103),EXACT(Q101,$C$104),EXACT(Q101,$C$105),EXACT(Q101,$C$106),EXACT(Q101,$C$107),EXACT(Q101,$C$108),EXACT(Q101,$C$93)),2,0)</f>
        <v>0</v>
      </c>
      <c r="S101" s="1" t="s">
        <v>168</v>
      </c>
      <c r="T101" s="113">
        <f t="shared" ref="T101" si="104">IF(OR(EXACT(S101,$C$101),EXACT(S101,$C$95),EXACT(S101,$C$100),EXACT(S101,$C$94),EXACT(S101,$C$97),EXACT(S101,$C$96),EXACT(S101,$C$98),EXACT(S101,$C$99),EXACT(S101,$C$102),EXACT(S101,$C$103),EXACT(S101,$C$104),EXACT(S101,$C$105),EXACT(S101,$C$106),EXACT(S101,$C$107),EXACT(S101,$C$108),EXACT(S101,$C$93)),2,0)</f>
        <v>0</v>
      </c>
      <c r="U101" s="1" t="s">
        <v>184</v>
      </c>
      <c r="V101" s="113">
        <f t="shared" ref="V101" si="105">IF(OR(EXACT(U101,$C$101),EXACT(U101,$C$95),EXACT(U101,$C$100),EXACT(U101,$C$94),EXACT(U101,$C$97),EXACT(U101,$C$96),EXACT(U101,$C$98),EXACT(U101,$C$99),EXACT(U101,$C$102),EXACT(U101,$C$103),EXACT(U101,$C$104),EXACT(U101,$C$105),EXACT(U101,$C$106),EXACT(U101,$C$107),EXACT(U101,$C$108),EXACT(U101,$C$93)),2,0)</f>
        <v>0</v>
      </c>
      <c r="W101" s="1" t="s">
        <v>184</v>
      </c>
      <c r="X101" s="113">
        <f t="shared" ref="X101" si="106">IF(OR(EXACT(W101,$C$101),EXACT(W101,$C$95),EXACT(W101,$C$100),EXACT(W101,$C$94),EXACT(W101,$C$97),EXACT(W101,$C$96),EXACT(W101,$C$98),EXACT(W101,$C$99),EXACT(W101,$C$102),EXACT(W101,$C$103),EXACT(W101,$C$104),EXACT(W101,$C$105),EXACT(W101,$C$106),EXACT(W101,$C$107),EXACT(W101,$C$108),EXACT(W101,$C$93)),2,0)</f>
        <v>0</v>
      </c>
      <c r="Y101" s="1" t="s">
        <v>176</v>
      </c>
      <c r="Z101" s="113">
        <f t="shared" ref="Z101" si="107">IF(OR(EXACT(Y101,$C$101),EXACT(Y101,$C$95),EXACT(Y101,$C$100),EXACT(Y101,$C$94),EXACT(Y101,$C$97),EXACT(Y101,$C$96),EXACT(Y101,$C$98),EXACT(Y101,$C$99),EXACT(Y101,$C$102),EXACT(Y101,$C$103),EXACT(Y101,$C$104),EXACT(Y101,$C$105),EXACT(Y101,$C$106),EXACT(Y101,$C$107),EXACT(Y101,$C$108),EXACT(Y101,$C$93)),2,0)</f>
        <v>0</v>
      </c>
      <c r="AA101" s="112" t="s">
        <v>170</v>
      </c>
      <c r="AB101" s="113">
        <f t="shared" ref="AB101" si="108">IF(OR(EXACT(AA101,$C$101),EXACT(AA101,$C$95),EXACT(AA101,$C$100),EXACT(AA101,$C$94),EXACT(AA101,$C$97),EXACT(AA101,$C$96),EXACT(AA101,$C$98),EXACT(AA101,$C$99),EXACT(AA101,$C$102),EXACT(AA101,$C$103),EXACT(AA101,$C$104),EXACT(AA101,$C$105),EXACT(AA101,$C$106),EXACT(AA101,$C$107),EXACT(AA101,$C$108),EXACT(AA101,$C$93)),2,0)</f>
        <v>0</v>
      </c>
      <c r="AC101" s="1" t="s">
        <v>183</v>
      </c>
      <c r="AD101" s="113">
        <f t="shared" ref="AD101" si="109">IF(OR(EXACT(AC101,$C$101),EXACT(AC101,$C$95),EXACT(AC101,$C$100),EXACT(AC101,$C$94),EXACT(AC101,$C$97),EXACT(AC101,$C$96),EXACT(AC101,$C$98),EXACT(AC101,$C$99),EXACT(AC101,$C$102),EXACT(AC101,$C$103),EXACT(AC101,$C$104),EXACT(AC101,$C$105),EXACT(AC101,$C$106),EXACT(AC101,$C$107),EXACT(AC101,$C$108),EXACT(AC101,$C$93)),2,0)</f>
        <v>0</v>
      </c>
      <c r="AE101" s="1" t="s">
        <v>183</v>
      </c>
      <c r="AF101" s="113">
        <f t="shared" ref="AF101" si="110">IF(OR(EXACT(AE101,$C$101),EXACT(AE101,$C$95),EXACT(AE101,$C$100),EXACT(AE101,$C$94),EXACT(AE101,$C$97),EXACT(AE101,$C$96),EXACT(AE101,$C$98),EXACT(AE101,$C$99),EXACT(AE101,$C$102),EXACT(AE101,$C$103),EXACT(AE101,$C$104),EXACT(AE101,$C$105),EXACT(AE101,$C$106),EXACT(AE101,$C$107),EXACT(AE101,$C$108),EXACT(AE101,$C$93)),2,0)</f>
        <v>0</v>
      </c>
      <c r="AG101" s="1" t="s">
        <v>163</v>
      </c>
      <c r="AH101" s="113">
        <f t="shared" ref="AH101" si="111">IF(OR(EXACT(AG101,$C$101),EXACT(AG101,$C$95),EXACT(AG101,$C$100),EXACT(AG101,$C$94),EXACT(AG101,$C$97),EXACT(AG101,$C$96),EXACT(AG101,$C$98),EXACT(AG101,$C$99),EXACT(AG101,$C$102),EXACT(AG101,$C$103),EXACT(AG101,$C$104),EXACT(AG101,$C$105),EXACT(AG101,$C$106),EXACT(AG101,$C$107),EXACT(AG101,$C$108),EXACT(AG101,$C$93)),2,0)</f>
        <v>0</v>
      </c>
      <c r="AI101" s="1" t="s">
        <v>184</v>
      </c>
      <c r="AJ101" s="113">
        <f t="shared" ref="AJ101" si="112">IF(OR(EXACT(AI101,$C$101),EXACT(AI101,$C$95),EXACT(AI101,$C$100),EXACT(AI101,$C$94),EXACT(AI101,$C$97),EXACT(AI101,$C$96),EXACT(AI101,$C$98),EXACT(AI101,$C$99),EXACT(AI101,$C$102),EXACT(AI101,$C$103),EXACT(AI101,$C$104),EXACT(AI101,$C$105),EXACT(AI101,$C$106),EXACT(AI101,$C$107),EXACT(AI101,$C$108),EXACT(AI101,$C$93)),2,0)</f>
        <v>0</v>
      </c>
      <c r="AK101" s="1" t="s">
        <v>177</v>
      </c>
      <c r="AL101" s="113">
        <f t="shared" ref="AL101" si="113">IF(OR(EXACT(AK101,$C$101),EXACT(AK101,$C$95),EXACT(AK101,$C$100),EXACT(AK101,$C$94),EXACT(AK101,$C$97),EXACT(AK101,$C$96),EXACT(AK101,$C$98),EXACT(AK101,$C$99),EXACT(AK101,$C$102),EXACT(AK101,$C$103),EXACT(AK101,$C$104),EXACT(AK101,$C$105),EXACT(AK101,$C$106),EXACT(AK101,$C$107),EXACT(AK101,$C$108),EXACT(AK101,$C$93)),2,0)</f>
        <v>0</v>
      </c>
      <c r="AM101" s="1" t="s">
        <v>183</v>
      </c>
      <c r="AN101" s="113">
        <f t="shared" ref="AN101" si="114">IF(OR(EXACT(AM101,$C$101),EXACT(AM101,$C$95),EXACT(AM101,$C$100),EXACT(AM101,$C$94),EXACT(AM101,$C$97),EXACT(AM101,$C$96),EXACT(AM101,$C$98),EXACT(AM101,$C$99),EXACT(AM101,$C$102),EXACT(AM101,$C$103),EXACT(AM101,$C$104),EXACT(AM101,$C$105),EXACT(AM101,$C$106),EXACT(AM101,$C$107),EXACT(AM101,$C$108),EXACT(AM101,$C$93)),2,0)</f>
        <v>0</v>
      </c>
      <c r="AO101" s="1" t="s">
        <v>169</v>
      </c>
      <c r="AP101" s="113">
        <f t="shared" ref="AP101" si="115">IF(OR(EXACT(AO101,$C$101),EXACT(AO101,$C$95),EXACT(AO101,$C$100),EXACT(AO101,$C$94),EXACT(AO101,$C$97),EXACT(AO101,$C$96),EXACT(AO101,$C$98),EXACT(AO101,$C$99),EXACT(AO101,$C$102),EXACT(AO101,$C$103),EXACT(AO101,$C$104),EXACT(AO101,$C$105),EXACT(AO101,$C$106),EXACT(AO101,$C$107),EXACT(AO101,$C$108),EXACT(AO101,$C$93)),2,0)</f>
        <v>0</v>
      </c>
      <c r="AQ101" s="1" t="s">
        <v>176</v>
      </c>
      <c r="AR101" s="113">
        <f t="shared" ref="AR101" si="116">IF(OR(EXACT(AQ101,$C$101),EXACT(AQ101,$C$95),EXACT(AQ101,$C$100),EXACT(AQ101,$C$94),EXACT(AQ101,$C$97),EXACT(AQ101,$C$96),EXACT(AQ101,$C$98),EXACT(AQ101,$C$99),EXACT(AQ101,$C$102),EXACT(AQ101,$C$103),EXACT(AQ101,$C$104),EXACT(AQ101,$C$105),EXACT(AQ101,$C$106),EXACT(AQ101,$C$107),EXACT(AQ101,$C$108),EXACT(AQ101,$C$93)),2,0)</f>
        <v>0</v>
      </c>
    </row>
    <row r="102" spans="1:64" ht="12.75" customHeight="1">
      <c r="A102" s="24"/>
      <c r="C102" s="16"/>
      <c r="D102" s="87"/>
      <c r="E102" s="1" t="s">
        <v>170</v>
      </c>
      <c r="F102" s="113">
        <f t="shared" si="0"/>
        <v>0</v>
      </c>
      <c r="G102" s="1" t="s">
        <v>182</v>
      </c>
      <c r="H102" s="113">
        <f t="shared" si="1"/>
        <v>0</v>
      </c>
      <c r="I102" s="1" t="s">
        <v>185</v>
      </c>
      <c r="J102" s="113">
        <f t="shared" si="2"/>
        <v>0</v>
      </c>
      <c r="K102" s="1" t="s">
        <v>189</v>
      </c>
      <c r="L102" s="113">
        <f t="shared" si="3"/>
        <v>0</v>
      </c>
      <c r="M102" s="1" t="s">
        <v>184</v>
      </c>
      <c r="N102" s="113">
        <f t="shared" si="4"/>
        <v>0</v>
      </c>
      <c r="O102" s="112" t="s">
        <v>190</v>
      </c>
      <c r="P102" s="113">
        <f t="shared" si="4"/>
        <v>0</v>
      </c>
      <c r="Q102" s="1" t="s">
        <v>168</v>
      </c>
      <c r="R102" s="113">
        <f t="shared" ref="R102" si="117">IF(OR(EXACT(Q102,$C$101),EXACT(Q102,$C$95),EXACT(Q102,$C$100),EXACT(Q102,$C$94),EXACT(Q102,$C$97),EXACT(Q102,$C$96),EXACT(Q102,$C$98),EXACT(Q102,$C$99),EXACT(Q102,$C$102),EXACT(Q102,$C$103),EXACT(Q102,$C$104),EXACT(Q102,$C$105),EXACT(Q102,$C$106),EXACT(Q102,$C$107),EXACT(Q102,$C$108),EXACT(Q102,$C$93)),2,0)</f>
        <v>0</v>
      </c>
      <c r="S102" s="1" t="s">
        <v>177</v>
      </c>
      <c r="T102" s="113">
        <f t="shared" ref="T102" si="118">IF(OR(EXACT(S102,$C$101),EXACT(S102,$C$95),EXACT(S102,$C$100),EXACT(S102,$C$94),EXACT(S102,$C$97),EXACT(S102,$C$96),EXACT(S102,$C$98),EXACT(S102,$C$99),EXACT(S102,$C$102),EXACT(S102,$C$103),EXACT(S102,$C$104),EXACT(S102,$C$105),EXACT(S102,$C$106),EXACT(S102,$C$107),EXACT(S102,$C$108),EXACT(S102,$C$93)),2,0)</f>
        <v>0</v>
      </c>
      <c r="U102" s="1" t="s">
        <v>183</v>
      </c>
      <c r="V102" s="113">
        <f t="shared" ref="V102" si="119">IF(OR(EXACT(U102,$C$101),EXACT(U102,$C$95),EXACT(U102,$C$100),EXACT(U102,$C$94),EXACT(U102,$C$97),EXACT(U102,$C$96),EXACT(U102,$C$98),EXACT(U102,$C$99),EXACT(U102,$C$102),EXACT(U102,$C$103),EXACT(U102,$C$104),EXACT(U102,$C$105),EXACT(U102,$C$106),EXACT(U102,$C$107),EXACT(U102,$C$108),EXACT(U102,$C$93)),2,0)</f>
        <v>0</v>
      </c>
      <c r="W102" s="1" t="s">
        <v>182</v>
      </c>
      <c r="X102" s="113">
        <f t="shared" ref="X102" si="120">IF(OR(EXACT(W102,$C$101),EXACT(W102,$C$95),EXACT(W102,$C$100),EXACT(W102,$C$94),EXACT(W102,$C$97),EXACT(W102,$C$96),EXACT(W102,$C$98),EXACT(W102,$C$99),EXACT(W102,$C$102),EXACT(W102,$C$103),EXACT(W102,$C$104),EXACT(W102,$C$105),EXACT(W102,$C$106),EXACT(W102,$C$107),EXACT(W102,$C$108),EXACT(W102,$C$93)),2,0)</f>
        <v>0</v>
      </c>
      <c r="Y102" s="1" t="s">
        <v>172</v>
      </c>
      <c r="Z102" s="113">
        <f t="shared" ref="Z102" si="121">IF(OR(EXACT(Y102,$C$101),EXACT(Y102,$C$95),EXACT(Y102,$C$100),EXACT(Y102,$C$94),EXACT(Y102,$C$97),EXACT(Y102,$C$96),EXACT(Y102,$C$98),EXACT(Y102,$C$99),EXACT(Y102,$C$102),EXACT(Y102,$C$103),EXACT(Y102,$C$104),EXACT(Y102,$C$105),EXACT(Y102,$C$106),EXACT(Y102,$C$107),EXACT(Y102,$C$108),EXACT(Y102,$C$93)),2,0)</f>
        <v>0</v>
      </c>
      <c r="AA102" s="112" t="s">
        <v>191</v>
      </c>
      <c r="AB102" s="113">
        <f t="shared" ref="AB102" si="122">IF(OR(EXACT(AA102,$C$101),EXACT(AA102,$C$95),EXACT(AA102,$C$100),EXACT(AA102,$C$94),EXACT(AA102,$C$97),EXACT(AA102,$C$96),EXACT(AA102,$C$98),EXACT(AA102,$C$99),EXACT(AA102,$C$102),EXACT(AA102,$C$103),EXACT(AA102,$C$104),EXACT(AA102,$C$105),EXACT(AA102,$C$106),EXACT(AA102,$C$107),EXACT(AA102,$C$108),EXACT(AA102,$C$93)),2,0)</f>
        <v>0</v>
      </c>
      <c r="AC102" s="1" t="s">
        <v>192</v>
      </c>
      <c r="AD102" s="113">
        <f t="shared" ref="AD102" si="123">IF(OR(EXACT(AC102,$C$101),EXACT(AC102,$C$95),EXACT(AC102,$C$100),EXACT(AC102,$C$94),EXACT(AC102,$C$97),EXACT(AC102,$C$96),EXACT(AC102,$C$98),EXACT(AC102,$C$99),EXACT(AC102,$C$102),EXACT(AC102,$C$103),EXACT(AC102,$C$104),EXACT(AC102,$C$105),EXACT(AC102,$C$106),EXACT(AC102,$C$107),EXACT(AC102,$C$108),EXACT(AC102,$C$93)),2,0)</f>
        <v>0</v>
      </c>
      <c r="AE102" s="1" t="s">
        <v>182</v>
      </c>
      <c r="AF102" s="113">
        <f t="shared" ref="AF102" si="124">IF(OR(EXACT(AE102,$C$101),EXACT(AE102,$C$95),EXACT(AE102,$C$100),EXACT(AE102,$C$94),EXACT(AE102,$C$97),EXACT(AE102,$C$96),EXACT(AE102,$C$98),EXACT(AE102,$C$99),EXACT(AE102,$C$102),EXACT(AE102,$C$103),EXACT(AE102,$C$104),EXACT(AE102,$C$105),EXACT(AE102,$C$106),EXACT(AE102,$C$107),EXACT(AE102,$C$108),EXACT(AE102,$C$93)),2,0)</f>
        <v>0</v>
      </c>
      <c r="AG102" s="1" t="s">
        <v>183</v>
      </c>
      <c r="AH102" s="113">
        <f t="shared" ref="AH102" si="125">IF(OR(EXACT(AG102,$C$101),EXACT(AG102,$C$95),EXACT(AG102,$C$100),EXACT(AG102,$C$94),EXACT(AG102,$C$97),EXACT(AG102,$C$96),EXACT(AG102,$C$98),EXACT(AG102,$C$99),EXACT(AG102,$C$102),EXACT(AG102,$C$103),EXACT(AG102,$C$104),EXACT(AG102,$C$105),EXACT(AG102,$C$106),EXACT(AG102,$C$107),EXACT(AG102,$C$108),EXACT(AG102,$C$93)),2,0)</f>
        <v>0</v>
      </c>
      <c r="AI102" s="1" t="s">
        <v>182</v>
      </c>
      <c r="AJ102" s="113">
        <f t="shared" ref="AJ102" si="126">IF(OR(EXACT(AI102,$C$101),EXACT(AI102,$C$95),EXACT(AI102,$C$100),EXACT(AI102,$C$94),EXACT(AI102,$C$97),EXACT(AI102,$C$96),EXACT(AI102,$C$98),EXACT(AI102,$C$99),EXACT(AI102,$C$102),EXACT(AI102,$C$103),EXACT(AI102,$C$104),EXACT(AI102,$C$105),EXACT(AI102,$C$106),EXACT(AI102,$C$107),EXACT(AI102,$C$108),EXACT(AI102,$C$93)),2,0)</f>
        <v>0</v>
      </c>
      <c r="AK102" s="1" t="s">
        <v>184</v>
      </c>
      <c r="AL102" s="113">
        <f t="shared" ref="AL102" si="127">IF(OR(EXACT(AK102,$C$101),EXACT(AK102,$C$95),EXACT(AK102,$C$100),EXACT(AK102,$C$94),EXACT(AK102,$C$97),EXACT(AK102,$C$96),EXACT(AK102,$C$98),EXACT(AK102,$C$99),EXACT(AK102,$C$102),EXACT(AK102,$C$103),EXACT(AK102,$C$104),EXACT(AK102,$C$105),EXACT(AK102,$C$106),EXACT(AK102,$C$107),EXACT(AK102,$C$108),EXACT(AK102,$C$93)),2,0)</f>
        <v>0</v>
      </c>
      <c r="AM102" s="1" t="s">
        <v>182</v>
      </c>
      <c r="AN102" s="113">
        <f t="shared" ref="AN102" si="128">IF(OR(EXACT(AM102,$C$101),EXACT(AM102,$C$95),EXACT(AM102,$C$100),EXACT(AM102,$C$94),EXACT(AM102,$C$97),EXACT(AM102,$C$96),EXACT(AM102,$C$98),EXACT(AM102,$C$99),EXACT(AM102,$C$102),EXACT(AM102,$C$103),EXACT(AM102,$C$104),EXACT(AM102,$C$105),EXACT(AM102,$C$106),EXACT(AM102,$C$107),EXACT(AM102,$C$108),EXACT(AM102,$C$93)),2,0)</f>
        <v>0</v>
      </c>
      <c r="AO102" s="1" t="s">
        <v>177</v>
      </c>
      <c r="AP102" s="113">
        <f t="shared" ref="AP102" si="129">IF(OR(EXACT(AO102,$C$101),EXACT(AO102,$C$95),EXACT(AO102,$C$100),EXACT(AO102,$C$94),EXACT(AO102,$C$97),EXACT(AO102,$C$96),EXACT(AO102,$C$98),EXACT(AO102,$C$99),EXACT(AO102,$C$102),EXACT(AO102,$C$103),EXACT(AO102,$C$104),EXACT(AO102,$C$105),EXACT(AO102,$C$106),EXACT(AO102,$C$107),EXACT(AO102,$C$108),EXACT(AO102,$C$93)),2,0)</f>
        <v>0</v>
      </c>
      <c r="AQ102" s="1" t="s">
        <v>169</v>
      </c>
      <c r="AR102" s="113">
        <f t="shared" ref="AR102" si="130">IF(OR(EXACT(AQ102,$C$101),EXACT(AQ102,$C$95),EXACT(AQ102,$C$100),EXACT(AQ102,$C$94),EXACT(AQ102,$C$97),EXACT(AQ102,$C$96),EXACT(AQ102,$C$98),EXACT(AQ102,$C$99),EXACT(AQ102,$C$102),EXACT(AQ102,$C$103),EXACT(AQ102,$C$104),EXACT(AQ102,$C$105),EXACT(AQ102,$C$106),EXACT(AQ102,$C$107),EXACT(AQ102,$C$108),EXACT(AQ102,$C$93)),2,0)</f>
        <v>0</v>
      </c>
    </row>
    <row r="103" spans="1:64" ht="14.25" customHeight="1">
      <c r="A103" s="24"/>
      <c r="C103" s="16"/>
      <c r="D103" s="87"/>
      <c r="E103" s="1" t="s">
        <v>182</v>
      </c>
      <c r="F103" s="113">
        <f t="shared" si="0"/>
        <v>0</v>
      </c>
      <c r="G103" s="1" t="s">
        <v>176</v>
      </c>
      <c r="H103" s="113">
        <f t="shared" si="1"/>
        <v>0</v>
      </c>
      <c r="I103" s="1" t="s">
        <v>167</v>
      </c>
      <c r="J103" s="113">
        <f t="shared" si="2"/>
        <v>0</v>
      </c>
      <c r="K103" s="1" t="s">
        <v>157</v>
      </c>
      <c r="L103" s="113">
        <f t="shared" si="3"/>
        <v>0</v>
      </c>
      <c r="M103" s="1" t="s">
        <v>170</v>
      </c>
      <c r="N103" s="113">
        <f t="shared" si="4"/>
        <v>0</v>
      </c>
      <c r="O103" s="112" t="s">
        <v>165</v>
      </c>
      <c r="P103" s="113">
        <f t="shared" si="4"/>
        <v>0</v>
      </c>
      <c r="Q103" s="1" t="s">
        <v>169</v>
      </c>
      <c r="R103" s="113">
        <f t="shared" ref="R103" si="131">IF(OR(EXACT(Q103,$C$101),EXACT(Q103,$C$95),EXACT(Q103,$C$100),EXACT(Q103,$C$94),EXACT(Q103,$C$97),EXACT(Q103,$C$96),EXACT(Q103,$C$98),EXACT(Q103,$C$99),EXACT(Q103,$C$102),EXACT(Q103,$C$103),EXACT(Q103,$C$104),EXACT(Q103,$C$105),EXACT(Q103,$C$106),EXACT(Q103,$C$107),EXACT(Q103,$C$108),EXACT(Q103,$C$93)),2,0)</f>
        <v>0</v>
      </c>
      <c r="S103" s="1" t="s">
        <v>170</v>
      </c>
      <c r="T103" s="113">
        <f t="shared" ref="T103" si="132">IF(OR(EXACT(S103,$C$101),EXACT(S103,$C$95),EXACT(S103,$C$100),EXACT(S103,$C$94),EXACT(S103,$C$97),EXACT(S103,$C$96),EXACT(S103,$C$98),EXACT(S103,$C$99),EXACT(S103,$C$102),EXACT(S103,$C$103),EXACT(S103,$C$104),EXACT(S103,$C$105),EXACT(S103,$C$106),EXACT(S103,$C$107),EXACT(S103,$C$108),EXACT(S103,$C$93)),2,0)</f>
        <v>0</v>
      </c>
      <c r="U103" s="1" t="s">
        <v>182</v>
      </c>
      <c r="V103" s="113">
        <f t="shared" ref="V103" si="133">IF(OR(EXACT(U103,$C$101),EXACT(U103,$C$95),EXACT(U103,$C$100),EXACT(U103,$C$94),EXACT(U103,$C$97),EXACT(U103,$C$96),EXACT(U103,$C$98),EXACT(U103,$C$99),EXACT(U103,$C$102),EXACT(U103,$C$103),EXACT(U103,$C$104),EXACT(U103,$C$105),EXACT(U103,$C$106),EXACT(U103,$C$107),EXACT(U103,$C$108),EXACT(U103,$C$93)),2,0)</f>
        <v>0</v>
      </c>
      <c r="W103" s="1" t="s">
        <v>176</v>
      </c>
      <c r="X103" s="113">
        <f t="shared" ref="X103" si="134">IF(OR(EXACT(W103,$C$101),EXACT(W103,$C$95),EXACT(W103,$C$100),EXACT(W103,$C$94),EXACT(W103,$C$97),EXACT(W103,$C$96),EXACT(W103,$C$98),EXACT(W103,$C$99),EXACT(W103,$C$102),EXACT(W103,$C$103),EXACT(W103,$C$104),EXACT(W103,$C$105),EXACT(W103,$C$106),EXACT(W103,$C$107),EXACT(W103,$C$108),EXACT(W103,$C$93)),2,0)</f>
        <v>0</v>
      </c>
      <c r="Y103" s="1" t="s">
        <v>184</v>
      </c>
      <c r="Z103" s="113">
        <f t="shared" ref="Z103" si="135">IF(OR(EXACT(Y103,$C$101),EXACT(Y103,$C$95),EXACT(Y103,$C$100),EXACT(Y103,$C$94),EXACT(Y103,$C$97),EXACT(Y103,$C$96),EXACT(Y103,$C$98),EXACT(Y103,$C$99),EXACT(Y103,$C$102),EXACT(Y103,$C$103),EXACT(Y103,$C$104),EXACT(Y103,$C$105),EXACT(Y103,$C$106),EXACT(Y103,$C$107),EXACT(Y103,$C$108),EXACT(Y103,$C$93)),2,0)</f>
        <v>0</v>
      </c>
      <c r="AA103" s="112" t="s">
        <v>176</v>
      </c>
      <c r="AB103" s="113">
        <f t="shared" ref="AB103" si="136">IF(OR(EXACT(AA103,$C$101),EXACT(AA103,$C$95),EXACT(AA103,$C$100),EXACT(AA103,$C$94),EXACT(AA103,$C$97),EXACT(AA103,$C$96),EXACT(AA103,$C$98),EXACT(AA103,$C$99),EXACT(AA103,$C$102),EXACT(AA103,$C$103),EXACT(AA103,$C$104),EXACT(AA103,$C$105),EXACT(AA103,$C$106),EXACT(AA103,$C$107),EXACT(AA103,$C$108),EXACT(AA103,$C$93)),2,0)</f>
        <v>0</v>
      </c>
      <c r="AC103" s="1" t="s">
        <v>176</v>
      </c>
      <c r="AD103" s="113">
        <f t="shared" ref="AD103" si="137">IF(OR(EXACT(AC103,$C$101),EXACT(AC103,$C$95),EXACT(AC103,$C$100),EXACT(AC103,$C$94),EXACT(AC103,$C$97),EXACT(AC103,$C$96),EXACT(AC103,$C$98),EXACT(AC103,$C$99),EXACT(AC103,$C$102),EXACT(AC103,$C$103),EXACT(AC103,$C$104),EXACT(AC103,$C$105),EXACT(AC103,$C$106),EXACT(AC103,$C$107),EXACT(AC103,$C$108),EXACT(AC103,$C$93)),2,0)</f>
        <v>0</v>
      </c>
      <c r="AE103" s="1" t="s">
        <v>176</v>
      </c>
      <c r="AF103" s="113">
        <f t="shared" ref="AF103" si="138">IF(OR(EXACT(AE103,$C$101),EXACT(AE103,$C$95),EXACT(AE103,$C$100),EXACT(AE103,$C$94),EXACT(AE103,$C$97),EXACT(AE103,$C$96),EXACT(AE103,$C$98),EXACT(AE103,$C$99),EXACT(AE103,$C$102),EXACT(AE103,$C$103),EXACT(AE103,$C$104),EXACT(AE103,$C$105),EXACT(AE103,$C$106),EXACT(AE103,$C$107),EXACT(AE103,$C$108),EXACT(AE103,$C$93)),2,0)</f>
        <v>0</v>
      </c>
      <c r="AG103" s="1" t="s">
        <v>182</v>
      </c>
      <c r="AH103" s="113">
        <f t="shared" ref="AH103" si="139">IF(OR(EXACT(AG103,$C$101),EXACT(AG103,$C$95),EXACT(AG103,$C$100),EXACT(AG103,$C$94),EXACT(AG103,$C$97),EXACT(AG103,$C$96),EXACT(AG103,$C$98),EXACT(AG103,$C$99),EXACT(AG103,$C$102),EXACT(AG103,$C$103),EXACT(AG103,$C$104),EXACT(AG103,$C$105),EXACT(AG103,$C$106),EXACT(AG103,$C$107),EXACT(AG103,$C$108),EXACT(AG103,$C$93)),2,0)</f>
        <v>0</v>
      </c>
      <c r="AI103" s="1" t="s">
        <v>176</v>
      </c>
      <c r="AJ103" s="113">
        <f t="shared" ref="AJ103" si="140">IF(OR(EXACT(AI103,$C$101),EXACT(AI103,$C$95),EXACT(AI103,$C$100),EXACT(AI103,$C$94),EXACT(AI103,$C$97),EXACT(AI103,$C$96),EXACT(AI103,$C$98),EXACT(AI103,$C$99),EXACT(AI103,$C$102),EXACT(AI103,$C$103),EXACT(AI103,$C$104),EXACT(AI103,$C$105),EXACT(AI103,$C$106),EXACT(AI103,$C$107),EXACT(AI103,$C$108),EXACT(AI103,$C$93)),2,0)</f>
        <v>0</v>
      </c>
      <c r="AK103" s="1" t="s">
        <v>185</v>
      </c>
      <c r="AL103" s="113">
        <f t="shared" ref="AL103" si="141">IF(OR(EXACT(AK103,$C$101),EXACT(AK103,$C$95),EXACT(AK103,$C$100),EXACT(AK103,$C$94),EXACT(AK103,$C$97),EXACT(AK103,$C$96),EXACT(AK103,$C$98),EXACT(AK103,$C$99),EXACT(AK103,$C$102),EXACT(AK103,$C$103),EXACT(AK103,$C$104),EXACT(AK103,$C$105),EXACT(AK103,$C$106),EXACT(AK103,$C$107),EXACT(AK103,$C$108),EXACT(AK103,$C$93)),2,0)</f>
        <v>0</v>
      </c>
      <c r="AM103" s="1" t="s">
        <v>176</v>
      </c>
      <c r="AN103" s="113">
        <f t="shared" ref="AN103" si="142">IF(OR(EXACT(AM103,$C$101),EXACT(AM103,$C$95),EXACT(AM103,$C$100),EXACT(AM103,$C$94),EXACT(AM103,$C$97),EXACT(AM103,$C$96),EXACT(AM103,$C$98),EXACT(AM103,$C$99),EXACT(AM103,$C$102),EXACT(AM103,$C$103),EXACT(AM103,$C$104),EXACT(AM103,$C$105),EXACT(AM103,$C$106),EXACT(AM103,$C$107),EXACT(AM103,$C$108),EXACT(AM103,$C$93)),2,0)</f>
        <v>0</v>
      </c>
      <c r="AO103" s="1" t="s">
        <v>163</v>
      </c>
      <c r="AP103" s="113">
        <f t="shared" ref="AP103" si="143">IF(OR(EXACT(AO103,$C$101),EXACT(AO103,$C$95),EXACT(AO103,$C$100),EXACT(AO103,$C$94),EXACT(AO103,$C$97),EXACT(AO103,$C$96),EXACT(AO103,$C$98),EXACT(AO103,$C$99),EXACT(AO103,$C$102),EXACT(AO103,$C$103),EXACT(AO103,$C$104),EXACT(AO103,$C$105),EXACT(AO103,$C$106),EXACT(AO103,$C$107),EXACT(AO103,$C$108),EXACT(AO103,$C$93)),2,0)</f>
        <v>0</v>
      </c>
      <c r="AQ103" s="1" t="s">
        <v>189</v>
      </c>
      <c r="AR103" s="113">
        <f t="shared" ref="AR103" si="144">IF(OR(EXACT(AQ103,$C$101),EXACT(AQ103,$C$95),EXACT(AQ103,$C$100),EXACT(AQ103,$C$94),EXACT(AQ103,$C$97),EXACT(AQ103,$C$96),EXACT(AQ103,$C$98),EXACT(AQ103,$C$99),EXACT(AQ103,$C$102),EXACT(AQ103,$C$103),EXACT(AQ103,$C$104),EXACT(AQ103,$C$105),EXACT(AQ103,$C$106),EXACT(AQ103,$C$107),EXACT(AQ103,$C$108),EXACT(AQ103,$C$93)),2,0)</f>
        <v>0</v>
      </c>
    </row>
    <row r="104" spans="1:64" ht="12.75" customHeight="1">
      <c r="A104" s="24"/>
      <c r="C104" s="16"/>
      <c r="D104" s="87"/>
      <c r="E104" s="1" t="s">
        <v>189</v>
      </c>
      <c r="F104" s="113">
        <f t="shared" si="0"/>
        <v>0</v>
      </c>
      <c r="G104" s="1" t="s">
        <v>185</v>
      </c>
      <c r="H104" s="113">
        <f t="shared" si="1"/>
        <v>0</v>
      </c>
      <c r="I104" s="1" t="s">
        <v>172</v>
      </c>
      <c r="J104" s="113">
        <f t="shared" si="2"/>
        <v>0</v>
      </c>
      <c r="K104" s="1" t="s">
        <v>167</v>
      </c>
      <c r="L104" s="113">
        <f t="shared" si="3"/>
        <v>0</v>
      </c>
      <c r="M104" s="1" t="s">
        <v>183</v>
      </c>
      <c r="N104" s="113">
        <f t="shared" si="4"/>
        <v>0</v>
      </c>
      <c r="O104" s="112" t="s">
        <v>168</v>
      </c>
      <c r="P104" s="113">
        <f t="shared" si="4"/>
        <v>0</v>
      </c>
      <c r="Q104" s="1" t="s">
        <v>167</v>
      </c>
      <c r="R104" s="113">
        <f t="shared" ref="R104" si="145">IF(OR(EXACT(Q104,$C$101),EXACT(Q104,$C$95),EXACT(Q104,$C$100),EXACT(Q104,$C$94),EXACT(Q104,$C$97),EXACT(Q104,$C$96),EXACT(Q104,$C$98),EXACT(Q104,$C$99),EXACT(Q104,$C$102),EXACT(Q104,$C$103),EXACT(Q104,$C$104),EXACT(Q104,$C$105),EXACT(Q104,$C$106),EXACT(Q104,$C$107),EXACT(Q104,$C$108),EXACT(Q104,$C$93)),2,0)</f>
        <v>0</v>
      </c>
      <c r="S104" s="1" t="s">
        <v>184</v>
      </c>
      <c r="T104" s="113">
        <f t="shared" ref="T104" si="146">IF(OR(EXACT(S104,$C$101),EXACT(S104,$C$95),EXACT(S104,$C$100),EXACT(S104,$C$94),EXACT(S104,$C$97),EXACT(S104,$C$96),EXACT(S104,$C$98),EXACT(S104,$C$99),EXACT(S104,$C$102),EXACT(S104,$C$103),EXACT(S104,$C$104),EXACT(S104,$C$105),EXACT(S104,$C$106),EXACT(S104,$C$107),EXACT(S104,$C$108),EXACT(S104,$C$93)),2,0)</f>
        <v>0</v>
      </c>
      <c r="U104" s="1" t="s">
        <v>176</v>
      </c>
      <c r="V104" s="113">
        <f t="shared" ref="V104" si="147">IF(OR(EXACT(U104,$C$101),EXACT(U104,$C$95),EXACT(U104,$C$100),EXACT(U104,$C$94),EXACT(U104,$C$97),EXACT(U104,$C$96),EXACT(U104,$C$98),EXACT(U104,$C$99),EXACT(U104,$C$102),EXACT(U104,$C$103),EXACT(U104,$C$104),EXACT(U104,$C$105),EXACT(U104,$C$106),EXACT(U104,$C$107),EXACT(U104,$C$108),EXACT(U104,$C$93)),2,0)</f>
        <v>0</v>
      </c>
      <c r="W104" s="1" t="s">
        <v>185</v>
      </c>
      <c r="X104" s="113">
        <f t="shared" ref="X104" si="148">IF(OR(EXACT(W104,$C$101),EXACT(W104,$C$95),EXACT(W104,$C$100),EXACT(W104,$C$94),EXACT(W104,$C$97),EXACT(W104,$C$96),EXACT(W104,$C$98),EXACT(W104,$C$99),EXACT(W104,$C$102),EXACT(W104,$C$103),EXACT(W104,$C$104),EXACT(W104,$C$105),EXACT(W104,$C$106),EXACT(W104,$C$107),EXACT(W104,$C$108),EXACT(W104,$C$93)),2,0)</f>
        <v>0</v>
      </c>
      <c r="Y104" s="1" t="s">
        <v>182</v>
      </c>
      <c r="Z104" s="113">
        <f t="shared" ref="Z104" si="149">IF(OR(EXACT(Y104,$C$101),EXACT(Y104,$C$95),EXACT(Y104,$C$100),EXACT(Y104,$C$94),EXACT(Y104,$C$97),EXACT(Y104,$C$96),EXACT(Y104,$C$98),EXACT(Y104,$C$99),EXACT(Y104,$C$102),EXACT(Y104,$C$103),EXACT(Y104,$C$104),EXACT(Y104,$C$105),EXACT(Y104,$C$106),EXACT(Y104,$C$107),EXACT(Y104,$C$108),EXACT(Y104,$C$93)),2,0)</f>
        <v>0</v>
      </c>
      <c r="AA104" s="112" t="s">
        <v>168</v>
      </c>
      <c r="AB104" s="113">
        <f t="shared" ref="AB104" si="150">IF(OR(EXACT(AA104,$C$101),EXACT(AA104,$C$95),EXACT(AA104,$C$100),EXACT(AA104,$C$94),EXACT(AA104,$C$97),EXACT(AA104,$C$96),EXACT(AA104,$C$98),EXACT(AA104,$C$99),EXACT(AA104,$C$102),EXACT(AA104,$C$103),EXACT(AA104,$C$104),EXACT(AA104,$C$105),EXACT(AA104,$C$106),EXACT(AA104,$C$107),EXACT(AA104,$C$108),EXACT(AA104,$C$93)),2,0)</f>
        <v>0</v>
      </c>
      <c r="AC104" s="1" t="s">
        <v>157</v>
      </c>
      <c r="AD104" s="113">
        <f t="shared" ref="AD104" si="151">IF(OR(EXACT(AC104,$C$101),EXACT(AC104,$C$95),EXACT(AC104,$C$100),EXACT(AC104,$C$94),EXACT(AC104,$C$97),EXACT(AC104,$C$96),EXACT(AC104,$C$98),EXACT(AC104,$C$99),EXACT(AC104,$C$102),EXACT(AC104,$C$103),EXACT(AC104,$C$104),EXACT(AC104,$C$105),EXACT(AC104,$C$106),EXACT(AC104,$C$107),EXACT(AC104,$C$108),EXACT(AC104,$C$93)),2,0)</f>
        <v>0</v>
      </c>
      <c r="AE104" s="1" t="s">
        <v>157</v>
      </c>
      <c r="AF104" s="113">
        <f t="shared" ref="AF104" si="152">IF(OR(EXACT(AE104,$C$101),EXACT(AE104,$C$95),EXACT(AE104,$C$100),EXACT(AE104,$C$94),EXACT(AE104,$C$97),EXACT(AE104,$C$96),EXACT(AE104,$C$98),EXACT(AE104,$C$99),EXACT(AE104,$C$102),EXACT(AE104,$C$103),EXACT(AE104,$C$104),EXACT(AE104,$C$105),EXACT(AE104,$C$106),EXACT(AE104,$C$107),EXACT(AE104,$C$108),EXACT(AE104,$C$93)),2,0)</f>
        <v>0</v>
      </c>
      <c r="AG104" s="1" t="s">
        <v>192</v>
      </c>
      <c r="AH104" s="113">
        <f t="shared" ref="AH104" si="153">IF(OR(EXACT(AG104,$C$101),EXACT(AG104,$C$95),EXACT(AG104,$C$100),EXACT(AG104,$C$94),EXACT(AG104,$C$97),EXACT(AG104,$C$96),EXACT(AG104,$C$98),EXACT(AG104,$C$99),EXACT(AG104,$C$102),EXACT(AG104,$C$103),EXACT(AG104,$C$104),EXACT(AG104,$C$105),EXACT(AG104,$C$106),EXACT(AG104,$C$107),EXACT(AG104,$C$108),EXACT(AG104,$C$93)),2,0)</f>
        <v>0</v>
      </c>
      <c r="AI104" s="1" t="s">
        <v>169</v>
      </c>
      <c r="AJ104" s="113">
        <f t="shared" ref="AJ104" si="154">IF(OR(EXACT(AI104,$C$101),EXACT(AI104,$C$95),EXACT(AI104,$C$100),EXACT(AI104,$C$94),EXACT(AI104,$C$97),EXACT(AI104,$C$96),EXACT(AI104,$C$98),EXACT(AI104,$C$99),EXACT(AI104,$C$102),EXACT(AI104,$C$103),EXACT(AI104,$C$104),EXACT(AI104,$C$105),EXACT(AI104,$C$106),EXACT(AI104,$C$107),EXACT(AI104,$C$108),EXACT(AI104,$C$93)),2,0)</f>
        <v>0</v>
      </c>
      <c r="AK104" s="1" t="s">
        <v>172</v>
      </c>
      <c r="AL104" s="113">
        <f t="shared" ref="AL104" si="155">IF(OR(EXACT(AK104,$C$101),EXACT(AK104,$C$95),EXACT(AK104,$C$100),EXACT(AK104,$C$94),EXACT(AK104,$C$97),EXACT(AK104,$C$96),EXACT(AK104,$C$98),EXACT(AK104,$C$99),EXACT(AK104,$C$102),EXACT(AK104,$C$103),EXACT(AK104,$C$104),EXACT(AK104,$C$105),EXACT(AK104,$C$106),EXACT(AK104,$C$107),EXACT(AK104,$C$108),EXACT(AK104,$C$93)),2,0)</f>
        <v>0</v>
      </c>
      <c r="AM104" s="1" t="s">
        <v>157</v>
      </c>
      <c r="AN104" s="113">
        <f t="shared" ref="AN104" si="156">IF(OR(EXACT(AM104,$C$101),EXACT(AM104,$C$95),EXACT(AM104,$C$100),EXACT(AM104,$C$94),EXACT(AM104,$C$97),EXACT(AM104,$C$96),EXACT(AM104,$C$98),EXACT(AM104,$C$99),EXACT(AM104,$C$102),EXACT(AM104,$C$103),EXACT(AM104,$C$104),EXACT(AM104,$C$105),EXACT(AM104,$C$106),EXACT(AM104,$C$107),EXACT(AM104,$C$108),EXACT(AM104,$C$93)),2,0)</f>
        <v>0</v>
      </c>
      <c r="AO104" s="1" t="s">
        <v>166</v>
      </c>
      <c r="AP104" s="113">
        <f t="shared" ref="AP104" si="157">IF(OR(EXACT(AO104,$C$101),EXACT(AO104,$C$95),EXACT(AO104,$C$100),EXACT(AO104,$C$94),EXACT(AO104,$C$97),EXACT(AO104,$C$96),EXACT(AO104,$C$98),EXACT(AO104,$C$99),EXACT(AO104,$C$102),EXACT(AO104,$C$103),EXACT(AO104,$C$104),EXACT(AO104,$C$105),EXACT(AO104,$C$106),EXACT(AO104,$C$107),EXACT(AO104,$C$108),EXACT(AO104,$C$93)),2,0)</f>
        <v>0</v>
      </c>
      <c r="AQ104" s="1" t="s">
        <v>183</v>
      </c>
      <c r="AR104" s="113">
        <f t="shared" ref="AR104" si="158">IF(OR(EXACT(AQ104,$C$101),EXACT(AQ104,$C$95),EXACT(AQ104,$C$100),EXACT(AQ104,$C$94),EXACT(AQ104,$C$97),EXACT(AQ104,$C$96),EXACT(AQ104,$C$98),EXACT(AQ104,$C$99),EXACT(AQ104,$C$102),EXACT(AQ104,$C$103),EXACT(AQ104,$C$104),EXACT(AQ104,$C$105),EXACT(AQ104,$C$106),EXACT(AQ104,$C$107),EXACT(AQ104,$C$108),EXACT(AQ104,$C$93)),2,0)</f>
        <v>0</v>
      </c>
    </row>
    <row r="105" spans="1:64" ht="12.75" customHeight="1">
      <c r="A105" s="24"/>
      <c r="C105" s="16"/>
      <c r="D105" s="87"/>
      <c r="E105" s="1" t="s">
        <v>183</v>
      </c>
      <c r="F105" s="113">
        <f t="shared" si="0"/>
        <v>0</v>
      </c>
      <c r="G105" s="1" t="s">
        <v>169</v>
      </c>
      <c r="H105" s="113">
        <f t="shared" si="1"/>
        <v>0</v>
      </c>
      <c r="I105" s="1" t="s">
        <v>169</v>
      </c>
      <c r="J105" s="113">
        <f t="shared" si="2"/>
        <v>0</v>
      </c>
      <c r="K105" s="1" t="s">
        <v>183</v>
      </c>
      <c r="L105" s="113">
        <f t="shared" si="3"/>
        <v>0</v>
      </c>
      <c r="M105" s="1" t="s">
        <v>189</v>
      </c>
      <c r="N105" s="113">
        <f t="shared" si="4"/>
        <v>0</v>
      </c>
      <c r="O105" s="112" t="s">
        <v>191</v>
      </c>
      <c r="P105" s="113">
        <f t="shared" si="4"/>
        <v>0</v>
      </c>
      <c r="Q105" s="1" t="s">
        <v>172</v>
      </c>
      <c r="R105" s="113">
        <f t="shared" ref="R105" si="159">IF(OR(EXACT(Q105,$C$101),EXACT(Q105,$C$95),EXACT(Q105,$C$100),EXACT(Q105,$C$94),EXACT(Q105,$C$97),EXACT(Q105,$C$96),EXACT(Q105,$C$98),EXACT(Q105,$C$99),EXACT(Q105,$C$102),EXACT(Q105,$C$103),EXACT(Q105,$C$104),EXACT(Q105,$C$105),EXACT(Q105,$C$106),EXACT(Q105,$C$107),EXACT(Q105,$C$108),EXACT(Q105,$C$93)),2,0)</f>
        <v>0</v>
      </c>
      <c r="S105" s="1" t="s">
        <v>183</v>
      </c>
      <c r="T105" s="113">
        <f t="shared" ref="T105" si="160">IF(OR(EXACT(S105,$C$101),EXACT(S105,$C$95),EXACT(S105,$C$100),EXACT(S105,$C$94),EXACT(S105,$C$97),EXACT(S105,$C$96),EXACT(S105,$C$98),EXACT(S105,$C$99),EXACT(S105,$C$102),EXACT(S105,$C$103),EXACT(S105,$C$104),EXACT(S105,$C$105),EXACT(S105,$C$106),EXACT(S105,$C$107),EXACT(S105,$C$108),EXACT(S105,$C$93)),2,0)</f>
        <v>0</v>
      </c>
      <c r="U105" s="1" t="s">
        <v>157</v>
      </c>
      <c r="V105" s="113">
        <f t="shared" ref="V105" si="161">IF(OR(EXACT(U105,$C$101),EXACT(U105,$C$95),EXACT(U105,$C$100),EXACT(U105,$C$94),EXACT(U105,$C$97),EXACT(U105,$C$96),EXACT(U105,$C$98),EXACT(U105,$C$99),EXACT(U105,$C$102),EXACT(U105,$C$103),EXACT(U105,$C$104),EXACT(U105,$C$105),EXACT(U105,$C$106),EXACT(U105,$C$107),EXACT(U105,$C$108),EXACT(U105,$C$93)),2,0)</f>
        <v>0</v>
      </c>
      <c r="W105" s="1" t="s">
        <v>183</v>
      </c>
      <c r="X105" s="113">
        <f t="shared" ref="X105" si="162">IF(OR(EXACT(W105,$C$101),EXACT(W105,$C$95),EXACT(W105,$C$100),EXACT(W105,$C$94),EXACT(W105,$C$97),EXACT(W105,$C$96),EXACT(W105,$C$98),EXACT(W105,$C$99),EXACT(W105,$C$102),EXACT(W105,$C$103),EXACT(W105,$C$104),EXACT(W105,$C$105),EXACT(W105,$C$106),EXACT(W105,$C$107),EXACT(W105,$C$108),EXACT(W105,$C$93)),2,0)</f>
        <v>0</v>
      </c>
      <c r="Y105" s="1" t="s">
        <v>183</v>
      </c>
      <c r="Z105" s="113">
        <f t="shared" ref="Z105" si="163">IF(OR(EXACT(Y105,$C$101),EXACT(Y105,$C$95),EXACT(Y105,$C$100),EXACT(Y105,$C$94),EXACT(Y105,$C$97),EXACT(Y105,$C$96),EXACT(Y105,$C$98),EXACT(Y105,$C$99),EXACT(Y105,$C$102),EXACT(Y105,$C$103),EXACT(Y105,$C$104),EXACT(Y105,$C$105),EXACT(Y105,$C$106),EXACT(Y105,$C$107),EXACT(Y105,$C$108),EXACT(Y105,$C$93)),2,0)</f>
        <v>0</v>
      </c>
      <c r="AA105" s="112" t="s">
        <v>185</v>
      </c>
      <c r="AB105" s="113">
        <f t="shared" ref="AB105" si="164">IF(OR(EXACT(AA105,$C$101),EXACT(AA105,$C$95),EXACT(AA105,$C$100),EXACT(AA105,$C$94),EXACT(AA105,$C$97),EXACT(AA105,$C$96),EXACT(AA105,$C$98),EXACT(AA105,$C$99),EXACT(AA105,$C$102),EXACT(AA105,$C$103),EXACT(AA105,$C$104),EXACT(AA105,$C$105),EXACT(AA105,$C$106),EXACT(AA105,$C$107),EXACT(AA105,$C$108),EXACT(AA105,$C$93)),2,0)</f>
        <v>0</v>
      </c>
      <c r="AC105" s="1" t="s">
        <v>177</v>
      </c>
      <c r="AD105" s="113">
        <f t="shared" ref="AD105" si="165">IF(OR(EXACT(AC105,$C$101),EXACT(AC105,$C$95),EXACT(AC105,$C$100),EXACT(AC105,$C$94),EXACT(AC105,$C$97),EXACT(AC105,$C$96),EXACT(AC105,$C$98),EXACT(AC105,$C$99),EXACT(AC105,$C$102),EXACT(AC105,$C$103),EXACT(AC105,$C$104),EXACT(AC105,$C$105),EXACT(AC105,$C$106),EXACT(AC105,$C$107),EXACT(AC105,$C$108),EXACT(AC105,$C$93)),2,0)</f>
        <v>0</v>
      </c>
      <c r="AE105" s="1" t="s">
        <v>169</v>
      </c>
      <c r="AF105" s="113">
        <f t="shared" ref="AF105" si="166">IF(OR(EXACT(AE105,$C$101),EXACT(AE105,$C$95),EXACT(AE105,$C$100),EXACT(AE105,$C$94),EXACT(AE105,$C$97),EXACT(AE105,$C$96),EXACT(AE105,$C$98),EXACT(AE105,$C$99),EXACT(AE105,$C$102),EXACT(AE105,$C$103),EXACT(AE105,$C$104),EXACT(AE105,$C$105),EXACT(AE105,$C$106),EXACT(AE105,$C$107),EXACT(AE105,$C$108),EXACT(AE105,$C$93)),2,0)</f>
        <v>0</v>
      </c>
      <c r="AG105" s="1" t="s">
        <v>176</v>
      </c>
      <c r="AH105" s="113">
        <f t="shared" ref="AH105" si="167">IF(OR(EXACT(AG105,$C$101),EXACT(AG105,$C$95),EXACT(AG105,$C$100),EXACT(AG105,$C$94),EXACT(AG105,$C$97),EXACT(AG105,$C$96),EXACT(AG105,$C$98),EXACT(AG105,$C$99),EXACT(AG105,$C$102),EXACT(AG105,$C$103),EXACT(AG105,$C$104),EXACT(AG105,$C$105),EXACT(AG105,$C$106),EXACT(AG105,$C$107),EXACT(AG105,$C$108),EXACT(AG105,$C$93)),2,0)</f>
        <v>0</v>
      </c>
      <c r="AI105" s="1" t="s">
        <v>183</v>
      </c>
      <c r="AJ105" s="113">
        <f t="shared" ref="AJ105" si="168">IF(OR(EXACT(AI105,$C$101),EXACT(AI105,$C$95),EXACT(AI105,$C$100),EXACT(AI105,$C$94),EXACT(AI105,$C$97),EXACT(AI105,$C$96),EXACT(AI105,$C$98),EXACT(AI105,$C$99),EXACT(AI105,$C$102),EXACT(AI105,$C$103),EXACT(AI105,$C$104),EXACT(AI105,$C$105),EXACT(AI105,$C$106),EXACT(AI105,$C$107),EXACT(AI105,$C$108),EXACT(AI105,$C$93)),2,0)</f>
        <v>0</v>
      </c>
      <c r="AK105" s="1" t="s">
        <v>169</v>
      </c>
      <c r="AL105" s="113">
        <f t="shared" ref="AL105" si="169">IF(OR(EXACT(AK105,$C$101),EXACT(AK105,$C$95),EXACT(AK105,$C$100),EXACT(AK105,$C$94),EXACT(AK105,$C$97),EXACT(AK105,$C$96),EXACT(AK105,$C$98),EXACT(AK105,$C$99),EXACT(AK105,$C$102),EXACT(AK105,$C$103),EXACT(AK105,$C$104),EXACT(AK105,$C$105),EXACT(AK105,$C$106),EXACT(AK105,$C$107),EXACT(AK105,$C$108),EXACT(AK105,$C$93)),2,0)</f>
        <v>0</v>
      </c>
      <c r="AM105" s="1" t="s">
        <v>169</v>
      </c>
      <c r="AN105" s="113">
        <f t="shared" ref="AN105" si="170">IF(OR(EXACT(AM105,$C$101),EXACT(AM105,$C$95),EXACT(AM105,$C$100),EXACT(AM105,$C$94),EXACT(AM105,$C$97),EXACT(AM105,$C$96),EXACT(AM105,$C$98),EXACT(AM105,$C$99),EXACT(AM105,$C$102),EXACT(AM105,$C$103),EXACT(AM105,$C$104),EXACT(AM105,$C$105),EXACT(AM105,$C$106),EXACT(AM105,$C$107),EXACT(AM105,$C$108),EXACT(AM105,$C$93)),2,0)</f>
        <v>0</v>
      </c>
      <c r="AO105" s="1" t="s">
        <v>182</v>
      </c>
      <c r="AP105" s="113">
        <f t="shared" ref="AP105" si="171">IF(OR(EXACT(AO105,$C$101),EXACT(AO105,$C$95),EXACT(AO105,$C$100),EXACT(AO105,$C$94),EXACT(AO105,$C$97),EXACT(AO105,$C$96),EXACT(AO105,$C$98),EXACT(AO105,$C$99),EXACT(AO105,$C$102),EXACT(AO105,$C$103),EXACT(AO105,$C$104),EXACT(AO105,$C$105),EXACT(AO105,$C$106),EXACT(AO105,$C$107),EXACT(AO105,$C$108),EXACT(AO105,$C$93)),2,0)</f>
        <v>0</v>
      </c>
      <c r="AQ105" s="1" t="s">
        <v>177</v>
      </c>
      <c r="AR105" s="113">
        <f t="shared" ref="AR105" si="172">IF(OR(EXACT(AQ105,$C$101),EXACT(AQ105,$C$95),EXACT(AQ105,$C$100),EXACT(AQ105,$C$94),EXACT(AQ105,$C$97),EXACT(AQ105,$C$96),EXACT(AQ105,$C$98),EXACT(AQ105,$C$99),EXACT(AQ105,$C$102),EXACT(AQ105,$C$103),EXACT(AQ105,$C$104),EXACT(AQ105,$C$105),EXACT(AQ105,$C$106),EXACT(AQ105,$C$107),EXACT(AQ105,$C$108),EXACT(AQ105,$C$93)),2,0)</f>
        <v>0</v>
      </c>
    </row>
    <row r="106" spans="1:64" ht="12.75" customHeight="1">
      <c r="C106" s="16"/>
      <c r="D106" s="87"/>
      <c r="E106" s="1" t="s">
        <v>176</v>
      </c>
      <c r="F106" s="113">
        <f t="shared" si="0"/>
        <v>0</v>
      </c>
      <c r="G106" s="1" t="s">
        <v>177</v>
      </c>
      <c r="H106" s="113">
        <f t="shared" si="1"/>
        <v>0</v>
      </c>
      <c r="I106" s="1" t="s">
        <v>171</v>
      </c>
      <c r="J106" s="113">
        <f t="shared" si="2"/>
        <v>0</v>
      </c>
      <c r="K106" s="1" t="s">
        <v>177</v>
      </c>
      <c r="L106" s="113">
        <f t="shared" si="3"/>
        <v>0</v>
      </c>
      <c r="M106" s="1" t="s">
        <v>157</v>
      </c>
      <c r="N106" s="113">
        <f t="shared" si="4"/>
        <v>0</v>
      </c>
      <c r="O106" s="112" t="s">
        <v>193</v>
      </c>
      <c r="P106" s="113">
        <f t="shared" si="4"/>
        <v>0</v>
      </c>
      <c r="Q106" s="1" t="s">
        <v>185</v>
      </c>
      <c r="R106" s="113">
        <f t="shared" ref="R106" si="173">IF(OR(EXACT(Q106,$C$101),EXACT(Q106,$C$95),EXACT(Q106,$C$100),EXACT(Q106,$C$94),EXACT(Q106,$C$97),EXACT(Q106,$C$96),EXACT(Q106,$C$98),EXACT(Q106,$C$99),EXACT(Q106,$C$102),EXACT(Q106,$C$103),EXACT(Q106,$C$104),EXACT(Q106,$C$105),EXACT(Q106,$C$106),EXACT(Q106,$C$107),EXACT(Q106,$C$108),EXACT(Q106,$C$93)),2,0)</f>
        <v>0</v>
      </c>
      <c r="S106" s="1" t="s">
        <v>192</v>
      </c>
      <c r="T106" s="113">
        <f t="shared" ref="T106" si="174">IF(OR(EXACT(S106,$C$101),EXACT(S106,$C$95),EXACT(S106,$C$100),EXACT(S106,$C$94),EXACT(S106,$C$97),EXACT(S106,$C$96),EXACT(S106,$C$98),EXACT(S106,$C$99),EXACT(S106,$C$102),EXACT(S106,$C$103),EXACT(S106,$C$104),EXACT(S106,$C$105),EXACT(S106,$C$106),EXACT(S106,$C$107),EXACT(S106,$C$108),EXACT(S106,$C$93)),2,0)</f>
        <v>0</v>
      </c>
      <c r="U106" s="1" t="s">
        <v>171</v>
      </c>
      <c r="V106" s="113">
        <f t="shared" ref="V106" si="175">IF(OR(EXACT(U106,$C$101),EXACT(U106,$C$95),EXACT(U106,$C$100),EXACT(U106,$C$94),EXACT(U106,$C$97),EXACT(U106,$C$96),EXACT(U106,$C$98),EXACT(U106,$C$99),EXACT(U106,$C$102),EXACT(U106,$C$103),EXACT(U106,$C$104),EXACT(U106,$C$105),EXACT(U106,$C$106),EXACT(U106,$C$107),EXACT(U106,$C$108),EXACT(U106,$C$93)),2,0)</f>
        <v>0</v>
      </c>
      <c r="W106" s="1" t="s">
        <v>171</v>
      </c>
      <c r="X106" s="113">
        <f t="shared" ref="X106" si="176">IF(OR(EXACT(W106,$C$101),EXACT(W106,$C$95),EXACT(W106,$C$100),EXACT(W106,$C$94),EXACT(W106,$C$97),EXACT(W106,$C$96),EXACT(W106,$C$98),EXACT(W106,$C$99),EXACT(W106,$C$102),EXACT(W106,$C$103),EXACT(W106,$C$104),EXACT(W106,$C$105),EXACT(W106,$C$106),EXACT(W106,$C$107),EXACT(W106,$C$108),EXACT(W106,$C$93)),2,0)</f>
        <v>0</v>
      </c>
      <c r="Y106" s="1" t="s">
        <v>170</v>
      </c>
      <c r="Z106" s="113">
        <f t="shared" ref="Z106" si="177">IF(OR(EXACT(Y106,$C$101),EXACT(Y106,$C$95),EXACT(Y106,$C$100),EXACT(Y106,$C$94),EXACT(Y106,$C$97),EXACT(Y106,$C$96),EXACT(Y106,$C$98),EXACT(Y106,$C$99),EXACT(Y106,$C$102),EXACT(Y106,$C$103),EXACT(Y106,$C$104),EXACT(Y106,$C$105),EXACT(Y106,$C$106),EXACT(Y106,$C$107),EXACT(Y106,$C$108),EXACT(Y106,$C$93)),2,0)</f>
        <v>0</v>
      </c>
      <c r="AA106" s="112" t="s">
        <v>187</v>
      </c>
      <c r="AB106" s="113">
        <f t="shared" ref="AB106" si="178">IF(OR(EXACT(AA106,$C$101),EXACT(AA106,$C$95),EXACT(AA106,$C$100),EXACT(AA106,$C$94),EXACT(AA106,$C$97),EXACT(AA106,$C$96),EXACT(AA106,$C$98),EXACT(AA106,$C$99),EXACT(AA106,$C$102),EXACT(AA106,$C$103),EXACT(AA106,$C$104),EXACT(AA106,$C$105),EXACT(AA106,$C$106),EXACT(AA106,$C$107),EXACT(AA106,$C$108),EXACT(AA106,$C$93)),2,0)</f>
        <v>0</v>
      </c>
      <c r="AC106" s="1" t="s">
        <v>185</v>
      </c>
      <c r="AD106" s="113">
        <f t="shared" ref="AD106" si="179">IF(OR(EXACT(AC106,$C$101),EXACT(AC106,$C$95),EXACT(AC106,$C$100),EXACT(AC106,$C$94),EXACT(AC106,$C$97),EXACT(AC106,$C$96),EXACT(AC106,$C$98),EXACT(AC106,$C$99),EXACT(AC106,$C$102),EXACT(AC106,$C$103),EXACT(AC106,$C$104),EXACT(AC106,$C$105),EXACT(AC106,$C$106),EXACT(AC106,$C$107),EXACT(AC106,$C$108),EXACT(AC106,$C$93)),2,0)</f>
        <v>0</v>
      </c>
      <c r="AE106" s="1" t="s">
        <v>164</v>
      </c>
      <c r="AF106" s="113">
        <f t="shared" ref="AF106" si="180">IF(OR(EXACT(AE106,$C$101),EXACT(AE106,$C$95),EXACT(AE106,$C$100),EXACT(AE106,$C$94),EXACT(AE106,$C$97),EXACT(AE106,$C$96),EXACT(AE106,$C$98),EXACT(AE106,$C$99),EXACT(AE106,$C$102),EXACT(AE106,$C$103),EXACT(AE106,$C$104),EXACT(AE106,$C$105),EXACT(AE106,$C$106),EXACT(AE106,$C$107),EXACT(AE106,$C$108),EXACT(AE106,$C$93)),2,0)</f>
        <v>0</v>
      </c>
      <c r="AG106" s="1" t="s">
        <v>185</v>
      </c>
      <c r="AH106" s="113">
        <f t="shared" ref="AH106" si="181">IF(OR(EXACT(AG106,$C$101),EXACT(AG106,$C$95),EXACT(AG106,$C$100),EXACT(AG106,$C$94),EXACT(AG106,$C$97),EXACT(AG106,$C$96),EXACT(AG106,$C$98),EXACT(AG106,$C$99),EXACT(AG106,$C$102),EXACT(AG106,$C$103),EXACT(AG106,$C$104),EXACT(AG106,$C$105),EXACT(AG106,$C$106),EXACT(AG106,$C$107),EXACT(AG106,$C$108),EXACT(AG106,$C$93)),2,0)</f>
        <v>0</v>
      </c>
      <c r="AI106" s="1" t="s">
        <v>178</v>
      </c>
      <c r="AJ106" s="113">
        <f t="shared" ref="AJ106" si="182">IF(OR(EXACT(AI106,$C$101),EXACT(AI106,$C$95),EXACT(AI106,$C$100),EXACT(AI106,$C$94),EXACT(AI106,$C$97),EXACT(AI106,$C$96),EXACT(AI106,$C$98),EXACT(AI106,$C$99),EXACT(AI106,$C$102),EXACT(AI106,$C$103),EXACT(AI106,$C$104),EXACT(AI106,$C$105),EXACT(AI106,$C$106),EXACT(AI106,$C$107),EXACT(AI106,$C$108),EXACT(AI106,$C$93)),2,0)</f>
        <v>0</v>
      </c>
      <c r="AK106" s="1" t="s">
        <v>157</v>
      </c>
      <c r="AL106" s="113">
        <f t="shared" ref="AL106" si="183">IF(OR(EXACT(AK106,$C$101),EXACT(AK106,$C$95),EXACT(AK106,$C$100),EXACT(AK106,$C$94),EXACT(AK106,$C$97),EXACT(AK106,$C$96),EXACT(AK106,$C$98),EXACT(AK106,$C$99),EXACT(AK106,$C$102),EXACT(AK106,$C$103),EXACT(AK106,$C$104),EXACT(AK106,$C$105),EXACT(AK106,$C$106),EXACT(AK106,$C$107),EXACT(AK106,$C$108),EXACT(AK106,$C$93)),2,0)</f>
        <v>0</v>
      </c>
      <c r="AM106" s="1" t="s">
        <v>185</v>
      </c>
      <c r="AN106" s="113">
        <f t="shared" ref="AN106" si="184">IF(OR(EXACT(AM106,$C$101),EXACT(AM106,$C$95),EXACT(AM106,$C$100),EXACT(AM106,$C$94),EXACT(AM106,$C$97),EXACT(AM106,$C$96),EXACT(AM106,$C$98),EXACT(AM106,$C$99),EXACT(AM106,$C$102),EXACT(AM106,$C$103),EXACT(AM106,$C$104),EXACT(AM106,$C$105),EXACT(AM106,$C$106),EXACT(AM106,$C$107),EXACT(AM106,$C$108),EXACT(AM106,$C$93)),2,0)</f>
        <v>0</v>
      </c>
      <c r="AO106" s="1" t="s">
        <v>157</v>
      </c>
      <c r="AP106" s="113">
        <f t="shared" ref="AP106" si="185">IF(OR(EXACT(AO106,$C$101),EXACT(AO106,$C$95),EXACT(AO106,$C$100),EXACT(AO106,$C$94),EXACT(AO106,$C$97),EXACT(AO106,$C$96),EXACT(AO106,$C$98),EXACT(AO106,$C$99),EXACT(AO106,$C$102),EXACT(AO106,$C$103),EXACT(AO106,$C$104),EXACT(AO106,$C$105),EXACT(AO106,$C$106),EXACT(AO106,$C$107),EXACT(AO106,$C$108),EXACT(AO106,$C$93)),2,0)</f>
        <v>0</v>
      </c>
      <c r="AQ106" s="1" t="s">
        <v>170</v>
      </c>
      <c r="AR106" s="113">
        <f t="shared" ref="AR106" si="186">IF(OR(EXACT(AQ106,$C$101),EXACT(AQ106,$C$95),EXACT(AQ106,$C$100),EXACT(AQ106,$C$94),EXACT(AQ106,$C$97),EXACT(AQ106,$C$96),EXACT(AQ106,$C$98),EXACT(AQ106,$C$99),EXACT(AQ106,$C$102),EXACT(AQ106,$C$103),EXACT(AQ106,$C$104),EXACT(AQ106,$C$105),EXACT(AQ106,$C$106),EXACT(AQ106,$C$107),EXACT(AQ106,$C$108),EXACT(AQ106,$C$93)),2,0)</f>
        <v>0</v>
      </c>
    </row>
    <row r="107" spans="1:64" ht="12.75" customHeight="1">
      <c r="A107" s="24"/>
      <c r="C107" s="16"/>
      <c r="D107" s="87"/>
      <c r="E107" s="1" t="s">
        <v>185</v>
      </c>
      <c r="F107" s="113">
        <f t="shared" si="0"/>
        <v>0</v>
      </c>
      <c r="G107" s="1" t="s">
        <v>157</v>
      </c>
      <c r="H107" s="113">
        <f t="shared" si="1"/>
        <v>0</v>
      </c>
      <c r="I107" s="1" t="s">
        <v>188</v>
      </c>
      <c r="J107" s="113">
        <f t="shared" si="2"/>
        <v>0</v>
      </c>
      <c r="K107" s="1" t="s">
        <v>170</v>
      </c>
      <c r="L107" s="113">
        <f t="shared" si="3"/>
        <v>0</v>
      </c>
      <c r="M107" s="1" t="s">
        <v>176</v>
      </c>
      <c r="N107" s="113">
        <f t="shared" si="4"/>
        <v>0</v>
      </c>
      <c r="O107" s="112" t="s">
        <v>173</v>
      </c>
      <c r="P107" s="113">
        <f t="shared" si="4"/>
        <v>0</v>
      </c>
      <c r="Q107" s="1" t="s">
        <v>192</v>
      </c>
      <c r="R107" s="113">
        <f t="shared" ref="R107" si="187">IF(OR(EXACT(Q107,$C$101),EXACT(Q107,$C$95),EXACT(Q107,$C$100),EXACT(Q107,$C$94),EXACT(Q107,$C$97),EXACT(Q107,$C$96),EXACT(Q107,$C$98),EXACT(Q107,$C$99),EXACT(Q107,$C$102),EXACT(Q107,$C$103),EXACT(Q107,$C$104),EXACT(Q107,$C$105),EXACT(Q107,$C$106),EXACT(Q107,$C$107),EXACT(Q107,$C$108),EXACT(Q107,$C$93)),2,0)</f>
        <v>0</v>
      </c>
      <c r="S107" s="1" t="s">
        <v>176</v>
      </c>
      <c r="T107" s="113">
        <f t="shared" ref="T107" si="188">IF(OR(EXACT(S107,$C$101),EXACT(S107,$C$95),EXACT(S107,$C$100),EXACT(S107,$C$94),EXACT(S107,$C$97),EXACT(S107,$C$96),EXACT(S107,$C$98),EXACT(S107,$C$99),EXACT(S107,$C$102),EXACT(S107,$C$103),EXACT(S107,$C$104),EXACT(S107,$C$105),EXACT(S107,$C$106),EXACT(S107,$C$107),EXACT(S107,$C$108),EXACT(S107,$C$93)),2,0)</f>
        <v>0</v>
      </c>
      <c r="U107" s="1" t="s">
        <v>185</v>
      </c>
      <c r="V107" s="113">
        <f t="shared" ref="V107" si="189">IF(OR(EXACT(U107,$C$101),EXACT(U107,$C$95),EXACT(U107,$C$100),EXACT(U107,$C$94),EXACT(U107,$C$97),EXACT(U107,$C$96),EXACT(U107,$C$98),EXACT(U107,$C$99),EXACT(U107,$C$102),EXACT(U107,$C$103),EXACT(U107,$C$104),EXACT(U107,$C$105),EXACT(U107,$C$106),EXACT(U107,$C$107),EXACT(U107,$C$108),EXACT(U107,$C$93)),2,0)</f>
        <v>0</v>
      </c>
      <c r="W107" s="1" t="s">
        <v>170</v>
      </c>
      <c r="X107" s="113">
        <f t="shared" ref="X107" si="190">IF(OR(EXACT(W107,$C$101),EXACT(W107,$C$95),EXACT(W107,$C$100),EXACT(W107,$C$94),EXACT(W107,$C$97),EXACT(W107,$C$96),EXACT(W107,$C$98),EXACT(W107,$C$99),EXACT(W107,$C$102),EXACT(W107,$C$103),EXACT(W107,$C$104),EXACT(W107,$C$105),EXACT(W107,$C$106),EXACT(W107,$C$107),EXACT(W107,$C$108),EXACT(W107,$C$93)),2,0)</f>
        <v>0</v>
      </c>
      <c r="Y107" s="1" t="s">
        <v>163</v>
      </c>
      <c r="Z107" s="113">
        <f t="shared" ref="Z107" si="191">IF(OR(EXACT(Y107,$C$101),EXACT(Y107,$C$95),EXACT(Y107,$C$100),EXACT(Y107,$C$94),EXACT(Y107,$C$97),EXACT(Y107,$C$96),EXACT(Y107,$C$98),EXACT(Y107,$C$99),EXACT(Y107,$C$102),EXACT(Y107,$C$103),EXACT(Y107,$C$104),EXACT(Y107,$C$105),EXACT(Y107,$C$106),EXACT(Y107,$C$107),EXACT(Y107,$C$108),EXACT(Y107,$C$93)),2,0)</f>
        <v>0</v>
      </c>
      <c r="AA107" s="112" t="s">
        <v>179</v>
      </c>
      <c r="AB107" s="113">
        <f t="shared" ref="AB107" si="192">IF(OR(EXACT(AA107,$C$101),EXACT(AA107,$C$95),EXACT(AA107,$C$100),EXACT(AA107,$C$94),EXACT(AA107,$C$97),EXACT(AA107,$C$96),EXACT(AA107,$C$98),EXACT(AA107,$C$99),EXACT(AA107,$C$102),EXACT(AA107,$C$103),EXACT(AA107,$C$104),EXACT(AA107,$C$105),EXACT(AA107,$C$106),EXACT(AA107,$C$107),EXACT(AA107,$C$108),EXACT(AA107,$C$93)),2,0)</f>
        <v>0</v>
      </c>
      <c r="AC107" s="1" t="s">
        <v>188</v>
      </c>
      <c r="AD107" s="113">
        <f t="shared" ref="AD107" si="193">IF(OR(EXACT(AC107,$C$101),EXACT(AC107,$C$95),EXACT(AC107,$C$100),EXACT(AC107,$C$94),EXACT(AC107,$C$97),EXACT(AC107,$C$96),EXACT(AC107,$C$98),EXACT(AC107,$C$99),EXACT(AC107,$C$102),EXACT(AC107,$C$103),EXACT(AC107,$C$104),EXACT(AC107,$C$105),EXACT(AC107,$C$106),EXACT(AC107,$C$107),EXACT(AC107,$C$108),EXACT(AC107,$C$93)),2,0)</f>
        <v>0</v>
      </c>
      <c r="AE107" s="1" t="s">
        <v>171</v>
      </c>
      <c r="AF107" s="113">
        <f t="shared" ref="AF107" si="194">IF(OR(EXACT(AE107,$C$101),EXACT(AE107,$C$95),EXACT(AE107,$C$100),EXACT(AE107,$C$94),EXACT(AE107,$C$97),EXACT(AE107,$C$96),EXACT(AE107,$C$98),EXACT(AE107,$C$99),EXACT(AE107,$C$102),EXACT(AE107,$C$103),EXACT(AE107,$C$104),EXACT(AE107,$C$105),EXACT(AE107,$C$106),EXACT(AE107,$C$107),EXACT(AE107,$C$108),EXACT(AE107,$C$93)),2,0)</f>
        <v>0</v>
      </c>
      <c r="AG107" s="1" t="s">
        <v>171</v>
      </c>
      <c r="AH107" s="113">
        <f t="shared" ref="AH107" si="195">IF(OR(EXACT(AG107,$C$101),EXACT(AG107,$C$95),EXACT(AG107,$C$100),EXACT(AG107,$C$94),EXACT(AG107,$C$97),EXACT(AG107,$C$96),EXACT(AG107,$C$98),EXACT(AG107,$C$99),EXACT(AG107,$C$102),EXACT(AG107,$C$103),EXACT(AG107,$C$104),EXACT(AG107,$C$105),EXACT(AG107,$C$106),EXACT(AG107,$C$107),EXACT(AG107,$C$108),EXACT(AG107,$C$93)),2,0)</f>
        <v>0</v>
      </c>
      <c r="AI107" s="1" t="s">
        <v>170</v>
      </c>
      <c r="AJ107" s="113">
        <f t="shared" ref="AJ107" si="196">IF(OR(EXACT(AI107,$C$101),EXACT(AI107,$C$95),EXACT(AI107,$C$100),EXACT(AI107,$C$94),EXACT(AI107,$C$97),EXACT(AI107,$C$96),EXACT(AI107,$C$98),EXACT(AI107,$C$99),EXACT(AI107,$C$102),EXACT(AI107,$C$103),EXACT(AI107,$C$104),EXACT(AI107,$C$105),EXACT(AI107,$C$106),EXACT(AI107,$C$107),EXACT(AI107,$C$108),EXACT(AI107,$C$93)),2,0)</f>
        <v>0</v>
      </c>
      <c r="AK107" s="1" t="s">
        <v>163</v>
      </c>
      <c r="AL107" s="113">
        <f t="shared" ref="AL107" si="197">IF(OR(EXACT(AK107,$C$101),EXACT(AK107,$C$95),EXACT(AK107,$C$100),EXACT(AK107,$C$94),EXACT(AK107,$C$97),EXACT(AK107,$C$96),EXACT(AK107,$C$98),EXACT(AK107,$C$99),EXACT(AK107,$C$102),EXACT(AK107,$C$103),EXACT(AK107,$C$104),EXACT(AK107,$C$105),EXACT(AK107,$C$106),EXACT(AK107,$C$107),EXACT(AK107,$C$108),EXACT(AK107,$C$93)),2,0)</f>
        <v>0</v>
      </c>
      <c r="AM107" s="1" t="s">
        <v>171</v>
      </c>
      <c r="AN107" s="113">
        <f t="shared" ref="AN107" si="198">IF(OR(EXACT(AM107,$C$101),EXACT(AM107,$C$95),EXACT(AM107,$C$100),EXACT(AM107,$C$94),EXACT(AM107,$C$97),EXACT(AM107,$C$96),EXACT(AM107,$C$98),EXACT(AM107,$C$99),EXACT(AM107,$C$102),EXACT(AM107,$C$103),EXACT(AM107,$C$104),EXACT(AM107,$C$105),EXACT(AM107,$C$106),EXACT(AM107,$C$107),EXACT(AM107,$C$108),EXACT(AM107,$C$93)),2,0)</f>
        <v>0</v>
      </c>
      <c r="AO107" s="1" t="s">
        <v>164</v>
      </c>
      <c r="AP107" s="113">
        <f t="shared" ref="AP107" si="199">IF(OR(EXACT(AO107,$C$101),EXACT(AO107,$C$95),EXACT(AO107,$C$100),EXACT(AO107,$C$94),EXACT(AO107,$C$97),EXACT(AO107,$C$96),EXACT(AO107,$C$98),EXACT(AO107,$C$99),EXACT(AO107,$C$102),EXACT(AO107,$C$103),EXACT(AO107,$C$104),EXACT(AO107,$C$105),EXACT(AO107,$C$106),EXACT(AO107,$C$107),EXACT(AO107,$C$108),EXACT(AO107,$C$93)),2,0)</f>
        <v>0</v>
      </c>
      <c r="AQ107" s="1" t="s">
        <v>157</v>
      </c>
      <c r="AR107" s="113">
        <f t="shared" ref="AR107" si="200">IF(OR(EXACT(AQ107,$C$101),EXACT(AQ107,$C$95),EXACT(AQ107,$C$100),EXACT(AQ107,$C$94),EXACT(AQ107,$C$97),EXACT(AQ107,$C$96),EXACT(AQ107,$C$98),EXACT(AQ107,$C$99),EXACT(AQ107,$C$102),EXACT(AQ107,$C$103),EXACT(AQ107,$C$104),EXACT(AQ107,$C$105),EXACT(AQ107,$C$106),EXACT(AQ107,$C$107),EXACT(AQ107,$C$108),EXACT(AQ107,$C$93)),2,0)</f>
        <v>0</v>
      </c>
    </row>
    <row r="108" spans="1:64" ht="12.75" customHeight="1">
      <c r="A108" s="25"/>
      <c r="B108" s="11"/>
      <c r="C108" s="26"/>
      <c r="D108" s="87"/>
      <c r="E108" s="27" t="s">
        <v>164</v>
      </c>
      <c r="F108" s="113">
        <f t="shared" si="0"/>
        <v>0</v>
      </c>
      <c r="G108" s="27" t="s">
        <v>188</v>
      </c>
      <c r="H108" s="113">
        <f t="shared" si="1"/>
        <v>0</v>
      </c>
      <c r="I108" s="27" t="s">
        <v>157</v>
      </c>
      <c r="J108" s="113">
        <f t="shared" si="2"/>
        <v>0</v>
      </c>
      <c r="K108" s="27" t="s">
        <v>176</v>
      </c>
      <c r="L108" s="113">
        <f t="shared" si="3"/>
        <v>0</v>
      </c>
      <c r="M108" s="27" t="s">
        <v>185</v>
      </c>
      <c r="N108" s="113">
        <f t="shared" si="4"/>
        <v>0</v>
      </c>
      <c r="O108" s="114" t="s">
        <v>176</v>
      </c>
      <c r="P108" s="113">
        <f t="shared" si="4"/>
        <v>0</v>
      </c>
      <c r="Q108" s="27" t="s">
        <v>182</v>
      </c>
      <c r="R108" s="113">
        <f t="shared" ref="R108" si="201">IF(OR(EXACT(Q108,$C$101),EXACT(Q108,$C$95),EXACT(Q108,$C$100),EXACT(Q108,$C$94),EXACT(Q108,$C$97),EXACT(Q108,$C$96),EXACT(Q108,$C$98),EXACT(Q108,$C$99),EXACT(Q108,$C$102),EXACT(Q108,$C$103),EXACT(Q108,$C$104),EXACT(Q108,$C$105),EXACT(Q108,$C$106),EXACT(Q108,$C$107),EXACT(Q108,$C$108),EXACT(Q108,$C$93)),2,0)</f>
        <v>0</v>
      </c>
      <c r="S108" s="27" t="s">
        <v>185</v>
      </c>
      <c r="T108" s="113">
        <f t="shared" ref="T108" si="202">IF(OR(EXACT(S108,$C$101),EXACT(S108,$C$95),EXACT(S108,$C$100),EXACT(S108,$C$94),EXACT(S108,$C$97),EXACT(S108,$C$96),EXACT(S108,$C$98),EXACT(S108,$C$99),EXACT(S108,$C$102),EXACT(S108,$C$103),EXACT(S108,$C$104),EXACT(S108,$C$105),EXACT(S108,$C$106),EXACT(S108,$C$107),EXACT(S108,$C$108),EXACT(S108,$C$93)),2,0)</f>
        <v>0</v>
      </c>
      <c r="U108" s="27" t="s">
        <v>192</v>
      </c>
      <c r="V108" s="113">
        <f t="shared" ref="V108" si="203">IF(OR(EXACT(U108,$C$101),EXACT(U108,$C$95),EXACT(U108,$C$100),EXACT(U108,$C$94),EXACT(U108,$C$97),EXACT(U108,$C$96),EXACT(U108,$C$98),EXACT(U108,$C$99),EXACT(U108,$C$102),EXACT(U108,$C$103),EXACT(U108,$C$104),EXACT(U108,$C$105),EXACT(U108,$C$106),EXACT(U108,$C$107),EXACT(U108,$C$108),EXACT(U108,$C$93)),2,0)</f>
        <v>0</v>
      </c>
      <c r="W108" s="27" t="s">
        <v>157</v>
      </c>
      <c r="X108" s="113">
        <f t="shared" ref="X108" si="204">IF(OR(EXACT(W108,$C$101),EXACT(W108,$C$95),EXACT(W108,$C$100),EXACT(W108,$C$94),EXACT(W108,$C$97),EXACT(W108,$C$96),EXACT(W108,$C$98),EXACT(W108,$C$99),EXACT(W108,$C$102),EXACT(W108,$C$103),EXACT(W108,$C$104),EXACT(W108,$C$105),EXACT(W108,$C$106),EXACT(W108,$C$107),EXACT(W108,$C$108),EXACT(W108,$C$93)),2,0)</f>
        <v>0</v>
      </c>
      <c r="Y108" s="27" t="s">
        <v>157</v>
      </c>
      <c r="Z108" s="113">
        <f t="shared" ref="Z108" si="205">IF(OR(EXACT(Y108,$C$101),EXACT(Y108,$C$95),EXACT(Y108,$C$100),EXACT(Y108,$C$94),EXACT(Y108,$C$97),EXACT(Y108,$C$96),EXACT(Y108,$C$98),EXACT(Y108,$C$99),EXACT(Y108,$C$102),EXACT(Y108,$C$103),EXACT(Y108,$C$104),EXACT(Y108,$C$105),EXACT(Y108,$C$106),EXACT(Y108,$C$107),EXACT(Y108,$C$108),EXACT(Y108,$C$93)),2,0)</f>
        <v>0</v>
      </c>
      <c r="AA108" s="114" t="s">
        <v>194</v>
      </c>
      <c r="AB108" s="113">
        <f t="shared" ref="AB108" si="206">IF(OR(EXACT(AA108,$C$101),EXACT(AA108,$C$95),EXACT(AA108,$C$100),EXACT(AA108,$C$94),EXACT(AA108,$C$97),EXACT(AA108,$C$96),EXACT(AA108,$C$98),EXACT(AA108,$C$99),EXACT(AA108,$C$102),EXACT(AA108,$C$103),EXACT(AA108,$C$104),EXACT(AA108,$C$105),EXACT(AA108,$C$106),EXACT(AA108,$C$107),EXACT(AA108,$C$108),EXACT(AA108,$C$93)),2,0)</f>
        <v>0</v>
      </c>
      <c r="AC108" s="27" t="s">
        <v>169</v>
      </c>
      <c r="AD108" s="113">
        <f t="shared" ref="AD108" si="207">IF(OR(EXACT(AC108,$C$101),EXACT(AC108,$C$95),EXACT(AC108,$C$100),EXACT(AC108,$C$94),EXACT(AC108,$C$97),EXACT(AC108,$C$96),EXACT(AC108,$C$98),EXACT(AC108,$C$99),EXACT(AC108,$C$102),EXACT(AC108,$C$103),EXACT(AC108,$C$104),EXACT(AC108,$C$105),EXACT(AC108,$C$106),EXACT(AC108,$C$107),EXACT(AC108,$C$108),EXACT(AC108,$C$93)),2,0)</f>
        <v>0</v>
      </c>
      <c r="AE108" s="27" t="s">
        <v>166</v>
      </c>
      <c r="AF108" s="113">
        <f t="shared" ref="AF108" si="208">IF(OR(EXACT(AE108,$C$101),EXACT(AE108,$C$95),EXACT(AE108,$C$100),EXACT(AE108,$C$94),EXACT(AE108,$C$97),EXACT(AE108,$C$96),EXACT(AE108,$C$98),EXACT(AE108,$C$99),EXACT(AE108,$C$102),EXACT(AE108,$C$103),EXACT(AE108,$C$104),EXACT(AE108,$C$105),EXACT(AE108,$C$106),EXACT(AE108,$C$107),EXACT(AE108,$C$108),EXACT(AE108,$C$93)),2,0)</f>
        <v>0</v>
      </c>
      <c r="AG108" s="27" t="s">
        <v>188</v>
      </c>
      <c r="AH108" s="113">
        <f t="shared" ref="AH108" si="209">IF(OR(EXACT(AG108,$C$101),EXACT(AG108,$C$95),EXACT(AG108,$C$100),EXACT(AG108,$C$94),EXACT(AG108,$C$97),EXACT(AG108,$C$96),EXACT(AG108,$C$98),EXACT(AG108,$C$99),EXACT(AG108,$C$102),EXACT(AG108,$C$103),EXACT(AG108,$C$104),EXACT(AG108,$C$105),EXACT(AG108,$C$106),EXACT(AG108,$C$107),EXACT(AG108,$C$108),EXACT(AG108,$C$93)),2,0)</f>
        <v>0</v>
      </c>
      <c r="AI108" s="27" t="s">
        <v>157</v>
      </c>
      <c r="AJ108" s="113">
        <f t="shared" ref="AJ108" si="210">IF(OR(EXACT(AI108,$C$101),EXACT(AI108,$C$95),EXACT(AI108,$C$100),EXACT(AI108,$C$94),EXACT(AI108,$C$97),EXACT(AI108,$C$96),EXACT(AI108,$C$98),EXACT(AI108,$C$99),EXACT(AI108,$C$102),EXACT(AI108,$C$103),EXACT(AI108,$C$104),EXACT(AI108,$C$105),EXACT(AI108,$C$106),EXACT(AI108,$C$107),EXACT(AI108,$C$108),EXACT(AI108,$C$93)),2,0)</f>
        <v>0</v>
      </c>
      <c r="AK108" s="27" t="s">
        <v>171</v>
      </c>
      <c r="AL108" s="113">
        <f t="shared" ref="AL108" si="211">IF(OR(EXACT(AK108,$C$101),EXACT(AK108,$C$95),EXACT(AK108,$C$100),EXACT(AK108,$C$94),EXACT(AK108,$C$97),EXACT(AK108,$C$96),EXACT(AK108,$C$98),EXACT(AK108,$C$99),EXACT(AK108,$C$102),EXACT(AK108,$C$103),EXACT(AK108,$C$104),EXACT(AK108,$C$105),EXACT(AK108,$C$106),EXACT(AK108,$C$107),EXACT(AK108,$C$108),EXACT(AK108,$C$93)),2,0)</f>
        <v>0</v>
      </c>
      <c r="AM108" s="27" t="s">
        <v>164</v>
      </c>
      <c r="AN108" s="113">
        <f t="shared" ref="AN108" si="212">IF(OR(EXACT(AM108,$C$101),EXACT(AM108,$C$95),EXACT(AM108,$C$100),EXACT(AM108,$C$94),EXACT(AM108,$C$97),EXACT(AM108,$C$96),EXACT(AM108,$C$98),EXACT(AM108,$C$99),EXACT(AM108,$C$102),EXACT(AM108,$C$103),EXACT(AM108,$C$104),EXACT(AM108,$C$105),EXACT(AM108,$C$106),EXACT(AM108,$C$107),EXACT(AM108,$C$108),EXACT(AM108,$C$93)),2,0)</f>
        <v>0</v>
      </c>
      <c r="AO108" s="27" t="s">
        <v>185</v>
      </c>
      <c r="AP108" s="113">
        <f t="shared" ref="AP108" si="213">IF(OR(EXACT(AO108,$C$101),EXACT(AO108,$C$95),EXACT(AO108,$C$100),EXACT(AO108,$C$94),EXACT(AO108,$C$97),EXACT(AO108,$C$96),EXACT(AO108,$C$98),EXACT(AO108,$C$99),EXACT(AO108,$C$102),EXACT(AO108,$C$103),EXACT(AO108,$C$104),EXACT(AO108,$C$105),EXACT(AO108,$C$106),EXACT(AO108,$C$107),EXACT(AO108,$C$108),EXACT(AO108,$C$93)),2,0)</f>
        <v>0</v>
      </c>
      <c r="AQ108" s="27" t="s">
        <v>184</v>
      </c>
      <c r="AR108" s="113">
        <f t="shared" ref="AR108" si="214">IF(OR(EXACT(AQ108,$C$101),EXACT(AQ108,$C$95),EXACT(AQ108,$C$100),EXACT(AQ108,$C$94),EXACT(AQ108,$C$97),EXACT(AQ108,$C$96),EXACT(AQ108,$C$98),EXACT(AQ108,$C$99),EXACT(AQ108,$C$102),EXACT(AQ108,$C$103),EXACT(AQ108,$C$104),EXACT(AQ108,$C$105),EXACT(AQ108,$C$106),EXACT(AQ108,$C$107),EXACT(AQ108,$C$108),EXACT(AQ108,$C$93)),2,0)</f>
        <v>0</v>
      </c>
    </row>
    <row r="109" spans="1:64" ht="36" customHeight="1">
      <c r="A109" s="145"/>
      <c r="B109" s="146"/>
      <c r="C109" s="88" t="s">
        <v>195</v>
      </c>
      <c r="D109" s="89"/>
      <c r="E109" s="143" t="s">
        <v>196</v>
      </c>
      <c r="F109" s="144"/>
      <c r="G109" s="143" t="s">
        <v>196</v>
      </c>
      <c r="H109" s="144"/>
      <c r="I109" s="143" t="s">
        <v>196</v>
      </c>
      <c r="J109" s="144"/>
      <c r="K109" s="143" t="s">
        <v>196</v>
      </c>
      <c r="L109" s="144"/>
      <c r="M109" s="143" t="s">
        <v>196</v>
      </c>
      <c r="N109" s="144"/>
      <c r="O109" s="143" t="s">
        <v>196</v>
      </c>
      <c r="P109" s="144"/>
      <c r="Q109" s="143" t="s">
        <v>196</v>
      </c>
      <c r="R109" s="144"/>
      <c r="S109" s="143" t="s">
        <v>196</v>
      </c>
      <c r="T109" s="144"/>
      <c r="U109" s="143" t="s">
        <v>196</v>
      </c>
      <c r="V109" s="144"/>
      <c r="W109" s="143" t="s">
        <v>196</v>
      </c>
      <c r="X109" s="144"/>
      <c r="Y109" s="143" t="s">
        <v>196</v>
      </c>
      <c r="Z109" s="144"/>
      <c r="AA109" s="143" t="s">
        <v>196</v>
      </c>
      <c r="AB109" s="144"/>
      <c r="AC109" s="143" t="s">
        <v>196</v>
      </c>
      <c r="AD109" s="144"/>
      <c r="AE109" s="143" t="s">
        <v>196</v>
      </c>
      <c r="AF109" s="144"/>
      <c r="AG109" s="143" t="s">
        <v>196</v>
      </c>
      <c r="AH109" s="144"/>
      <c r="AI109" s="143" t="s">
        <v>196</v>
      </c>
      <c r="AJ109" s="144"/>
      <c r="AK109" s="143" t="s">
        <v>196</v>
      </c>
      <c r="AL109" s="144"/>
      <c r="AM109" s="143" t="s">
        <v>196</v>
      </c>
      <c r="AN109" s="144"/>
      <c r="AO109" s="143" t="s">
        <v>196</v>
      </c>
      <c r="AP109" s="144"/>
      <c r="AQ109" s="143" t="s">
        <v>196</v>
      </c>
      <c r="AR109" s="144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</row>
    <row r="110" spans="1:64" ht="15.75" customHeight="1">
      <c r="A110" s="23"/>
      <c r="B110" s="16"/>
      <c r="C110" s="1"/>
      <c r="D110" s="73"/>
      <c r="E110" s="1" t="s">
        <v>167</v>
      </c>
      <c r="F110" s="10">
        <f>IF(OR(EXACT(E110,$C$110),EXACT(E110,$C$111),EXACT(E110,$C$112),EXACT(E110,$C$113),EXACT(E110,$C$114),EXACT(E110,$C$115),EXACT(E110,$C$116),EXACT(E110,$C$117)),4,0)</f>
        <v>0</v>
      </c>
      <c r="G110" s="1" t="s">
        <v>162</v>
      </c>
      <c r="H110" s="10">
        <f>IF(OR(EXACT(G110,$C$110),EXACT(G110,$C$111),EXACT(G110,$C$112),EXACT(G110,$C$113),EXACT(G110,$C$114),EXACT(G110,$C$115),EXACT(G110,$C$116),EXACT(G110,$C$117)),4,0)</f>
        <v>0</v>
      </c>
      <c r="I110" s="1" t="s">
        <v>162</v>
      </c>
      <c r="J110" s="10">
        <f>IF(OR(EXACT(I110,$C$110),EXACT(I110,$C$111),EXACT(I110,$C$112),EXACT(I110,$C$113),EXACT(I110,$C$114),EXACT(I110,$C$115),EXACT(I110,$C$116),EXACT(I110,$C$117)),4,0)</f>
        <v>0</v>
      </c>
      <c r="K110" s="1" t="s">
        <v>162</v>
      </c>
      <c r="L110" s="10">
        <f>IF(OR(EXACT(K110,$C$110),EXACT(K110,$C$111),EXACT(K110,$C$112),EXACT(K110,$C$113),EXACT(K110,$C$114),EXACT(K110,$C$115),EXACT(K110,$C$116),EXACT(K110,$C$117)),4,0)</f>
        <v>0</v>
      </c>
      <c r="M110" s="1" t="s">
        <v>162</v>
      </c>
      <c r="N110" s="10">
        <f>IF(OR(EXACT(M110,$C$110),EXACT(M110,$C$111),EXACT(M110,$C$112),EXACT(M110,$C$113),EXACT(M110,$C$114),EXACT(M110,$C$115),EXACT(M110,$C$116),EXACT(M110,$C$117)),4,0)</f>
        <v>0</v>
      </c>
      <c r="O110" s="112" t="s">
        <v>170</v>
      </c>
      <c r="P110" s="10">
        <f>IF(OR(EXACT(O110,$C$110),EXACT(O110,$C$111),EXACT(O110,$C$112),EXACT(O110,$C$113),EXACT(O110,$C$114),EXACT(O110,$C$115),EXACT(O110,$C$116),EXACT(O110,$C$117)),4,0)</f>
        <v>0</v>
      </c>
      <c r="Q110" s="1" t="s">
        <v>168</v>
      </c>
      <c r="R110" s="10">
        <f>IF(OR(EXACT(Q110,$C$110),EXACT(Q110,$C$111),EXACT(Q110,$C$112),EXACT(Q110,$C$113),EXACT(Q110,$C$114),EXACT(Q110,$C$115),EXACT(Q110,$C$116),EXACT(Q110,$C$117)),4,0)</f>
        <v>0</v>
      </c>
      <c r="S110" s="1" t="s">
        <v>187</v>
      </c>
      <c r="T110" s="10">
        <f>IF(OR(EXACT(S110,$C$110),EXACT(S110,$C$111),EXACT(S110,$C$112),EXACT(S110,$C$113),EXACT(S110,$C$114),EXACT(S110,$C$115),EXACT(S110,$C$116),EXACT(S110,$C$117)),4,0)</f>
        <v>0</v>
      </c>
      <c r="U110" s="1" t="s">
        <v>170</v>
      </c>
      <c r="V110" s="10">
        <f>IF(OR(EXACT(U110,$C$110),EXACT(U110,$C$111),EXACT(U110,$C$112),EXACT(U110,$C$113),EXACT(U110,$C$114),EXACT(U110,$C$115),EXACT(U110,$C$116),EXACT(U110,$C$117)),4,0)</f>
        <v>0</v>
      </c>
      <c r="W110" s="1" t="s">
        <v>167</v>
      </c>
      <c r="X110" s="10">
        <f>IF(OR(EXACT(W110,$C$110),EXACT(W110,$C$111),EXACT(W110,$C$112),EXACT(W110,$C$113),EXACT(W110,$C$114),EXACT(W110,$C$115),EXACT(W110,$C$116),EXACT(W110,$C$117)),4,0)</f>
        <v>0</v>
      </c>
      <c r="Y110" s="1" t="s">
        <v>162</v>
      </c>
      <c r="Z110" s="10">
        <f>IF(OR(EXACT(Y110,$C$110),EXACT(Y110,$C$111),EXACT(Y110,$C$112),EXACT(Y110,$C$113),EXACT(Y110,$C$114),EXACT(Y110,$C$115),EXACT(Y110,$C$116),EXACT(Y110,$C$117)),4,0)</f>
        <v>0</v>
      </c>
      <c r="AA110" s="112" t="s">
        <v>165</v>
      </c>
      <c r="AB110" s="10">
        <f>IF(OR(EXACT(AA110,$C$110),EXACT(AA110,$C$111),EXACT(AA110,$C$112),EXACT(AA110,$C$113),EXACT(AA110,$C$114),EXACT(AA110,$C$115),EXACT(AA110,$C$116),EXACT(AA110,$C$117)),4,0)</f>
        <v>0</v>
      </c>
      <c r="AC110" s="1" t="s">
        <v>162</v>
      </c>
      <c r="AD110" s="10">
        <f>IF(OR(EXACT(AC110,$C$110),EXACT(AC110,$C$111),EXACT(AC110,$C$112),EXACT(AC110,$C$113),EXACT(AC110,$C$114),EXACT(AC110,$C$115),EXACT(AC110,$C$116),EXACT(AC110,$C$117)),4,0)</f>
        <v>0</v>
      </c>
      <c r="AE110" s="1" t="s">
        <v>168</v>
      </c>
      <c r="AF110" s="10">
        <f>IF(OR(EXACT(AE110,$C$110),EXACT(AE110,$C$111),EXACT(AE110,$C$112),EXACT(AE110,$C$113),EXACT(AE110,$C$114),EXACT(AE110,$C$115),EXACT(AE110,$C$116),EXACT(AE110,$C$117)),4,0)</f>
        <v>0</v>
      </c>
      <c r="AG110" s="1" t="s">
        <v>167</v>
      </c>
      <c r="AH110" s="10">
        <f>IF(OR(EXACT(AG110,$C$110),EXACT(AG110,$C$111),EXACT(AG110,$C$112),EXACT(AG110,$C$113),EXACT(AG110,$C$114),EXACT(AG110,$C$115),EXACT(AG110,$C$116),EXACT(AG110,$C$117)),4,0)</f>
        <v>0</v>
      </c>
      <c r="AI110" s="1" t="s">
        <v>162</v>
      </c>
      <c r="AJ110" s="10">
        <f>IF(OR(EXACT(AI110,$C$110),EXACT(AI110,$C$111),EXACT(AI110,$C$112),EXACT(AI110,$C$113),EXACT(AI110,$C$114),EXACT(AI110,$C$115),EXACT(AI110,$C$116),EXACT(AI110,$C$117)),4,0)</f>
        <v>0</v>
      </c>
      <c r="AK110" s="1" t="s">
        <v>167</v>
      </c>
      <c r="AL110" s="10">
        <f>IF(OR(EXACT(AK110,$C$110),EXACT(AK110,$C$111),EXACT(AK110,$C$112),EXACT(AK110,$C$113),EXACT(AK110,$C$114),EXACT(AK110,$C$115),EXACT(AK110,$C$116),EXACT(AK110,$C$117)),4,0)</f>
        <v>0</v>
      </c>
      <c r="AM110" s="1" t="s">
        <v>162</v>
      </c>
      <c r="AN110" s="10">
        <f>IF(OR(EXACT(AM110,$C$110),EXACT(AM110,$C$111),EXACT(AM110,$C$112),EXACT(AM110,$C$113),EXACT(AM110,$C$114),EXACT(AM110,$C$115),EXACT(AM110,$C$116),EXACT(AM110,$C$117)),4,0)</f>
        <v>0</v>
      </c>
      <c r="AO110" s="1" t="s">
        <v>168</v>
      </c>
      <c r="AP110" s="10">
        <f>IF(OR(EXACT(AO110,$C$110),EXACT(AO110,$C$111),EXACT(AO110,$C$112),EXACT(AO110,$C$113),EXACT(AO110,$C$114),EXACT(AO110,$C$115),EXACT(AO110,$C$116),EXACT(AO110,$C$117)),4,0)</f>
        <v>0</v>
      </c>
      <c r="AQ110" s="1" t="s">
        <v>162</v>
      </c>
      <c r="AR110" s="10">
        <f>IF(OR(EXACT(AQ110,$C$110),EXACT(AQ110,$C$111),EXACT(AQ110,$C$112),EXACT(AQ110,$C$113),EXACT(AQ110,$C$114),EXACT(AQ110,$C$115),EXACT(AQ110,$C$116),EXACT(AQ110,$C$117)),4,0)</f>
        <v>0</v>
      </c>
    </row>
    <row r="111" spans="1:64" ht="12.75" customHeight="1">
      <c r="A111" s="23"/>
      <c r="B111" s="16"/>
      <c r="C111" s="28"/>
      <c r="D111" s="90"/>
      <c r="E111" s="1" t="s">
        <v>162</v>
      </c>
      <c r="F111" s="10">
        <f t="shared" ref="F111:H117" si="215">IF(OR(EXACT(E111,$C$110),EXACT(E111,$C$111),EXACT(E111,$C$112),EXACT(E111,$C$113),EXACT(E111,$C$114),EXACT(E111,$C$115),EXACT(E111,$C$116),EXACT(E111,$C$117)),4,0)</f>
        <v>0</v>
      </c>
      <c r="G111" s="1" t="s">
        <v>167</v>
      </c>
      <c r="H111" s="10">
        <f t="shared" si="215"/>
        <v>0</v>
      </c>
      <c r="I111" s="1" t="s">
        <v>170</v>
      </c>
      <c r="J111" s="10">
        <f t="shared" ref="J111" si="216">IF(OR(EXACT(I111,$C$110),EXACT(I111,$C$111),EXACT(I111,$C$112),EXACT(I111,$C$113),EXACT(I111,$C$114),EXACT(I111,$C$115),EXACT(I111,$C$116),EXACT(I111,$C$117)),4,0)</f>
        <v>0</v>
      </c>
      <c r="K111" s="1" t="s">
        <v>172</v>
      </c>
      <c r="L111" s="10">
        <f t="shared" ref="L111" si="217">IF(OR(EXACT(K111,$C$110),EXACT(K111,$C$111),EXACT(K111,$C$112),EXACT(K111,$C$113),EXACT(K111,$C$114),EXACT(K111,$C$115),EXACT(K111,$C$116),EXACT(K111,$C$117)),4,0)</f>
        <v>0</v>
      </c>
      <c r="M111" s="1" t="s">
        <v>167</v>
      </c>
      <c r="N111" s="10">
        <f t="shared" ref="N111" si="218">IF(OR(EXACT(M111,$C$110),EXACT(M111,$C$111),EXACT(M111,$C$112),EXACT(M111,$C$113),EXACT(M111,$C$114),EXACT(M111,$C$115),EXACT(M111,$C$116),EXACT(M111,$C$117)),4,0)</f>
        <v>0</v>
      </c>
      <c r="O111" s="112" t="s">
        <v>179</v>
      </c>
      <c r="P111" s="10">
        <f t="shared" ref="P111" si="219">IF(OR(EXACT(O111,$C$110),EXACT(O111,$C$111),EXACT(O111,$C$112),EXACT(O111,$C$113),EXACT(O111,$C$114),EXACT(O111,$C$115),EXACT(O111,$C$116),EXACT(O111,$C$117)),4,0)</f>
        <v>0</v>
      </c>
      <c r="Q111" s="1" t="s">
        <v>170</v>
      </c>
      <c r="R111" s="10">
        <f t="shared" ref="R111" si="220">IF(OR(EXACT(Q111,$C$110),EXACT(Q111,$C$111),EXACT(Q111,$C$112),EXACT(Q111,$C$113),EXACT(Q111,$C$114),EXACT(Q111,$C$115),EXACT(Q111,$C$116),EXACT(Q111,$C$117)),4,0)</f>
        <v>0</v>
      </c>
      <c r="S111" s="1" t="s">
        <v>167</v>
      </c>
      <c r="T111" s="10">
        <f t="shared" ref="T111" si="221">IF(OR(EXACT(S111,$C$110),EXACT(S111,$C$111),EXACT(S111,$C$112),EXACT(S111,$C$113),EXACT(S111,$C$114),EXACT(S111,$C$115),EXACT(S111,$C$116),EXACT(S111,$C$117)),4,0)</f>
        <v>0</v>
      </c>
      <c r="U111" s="1" t="s">
        <v>168</v>
      </c>
      <c r="V111" s="10">
        <f t="shared" ref="V111" si="222">IF(OR(EXACT(U111,$C$110),EXACT(U111,$C$111),EXACT(U111,$C$112),EXACT(U111,$C$113),EXACT(U111,$C$114),EXACT(U111,$C$115),EXACT(U111,$C$116),EXACT(U111,$C$117)),4,0)</f>
        <v>0</v>
      </c>
      <c r="W111" s="1" t="s">
        <v>162</v>
      </c>
      <c r="X111" s="10">
        <f t="shared" ref="X111" si="223">IF(OR(EXACT(W111,$C$110),EXACT(W111,$C$111),EXACT(W111,$C$112),EXACT(W111,$C$113),EXACT(W111,$C$114),EXACT(W111,$C$115),EXACT(W111,$C$116),EXACT(W111,$C$117)),4,0)</f>
        <v>0</v>
      </c>
      <c r="Y111" s="1" t="s">
        <v>169</v>
      </c>
      <c r="Z111" s="10">
        <f t="shared" ref="Z111" si="224">IF(OR(EXACT(Y111,$C$110),EXACT(Y111,$C$111),EXACT(Y111,$C$112),EXACT(Y111,$C$113),EXACT(Y111,$C$114),EXACT(Y111,$C$115),EXACT(Y111,$C$116),EXACT(Y111,$C$117)),4,0)</f>
        <v>0</v>
      </c>
      <c r="AA111" s="112" t="s">
        <v>175</v>
      </c>
      <c r="AB111" s="10">
        <f t="shared" ref="AB111" si="225">IF(OR(EXACT(AA111,$C$110),EXACT(AA111,$C$111),EXACT(AA111,$C$112),EXACT(AA111,$C$113),EXACT(AA111,$C$114),EXACT(AA111,$C$115),EXACT(AA111,$C$116),EXACT(AA111,$C$117)),4,0)</f>
        <v>0</v>
      </c>
      <c r="AC111" s="1" t="s">
        <v>172</v>
      </c>
      <c r="AD111" s="10">
        <f t="shared" ref="AD111" si="226">IF(OR(EXACT(AC111,$C$110),EXACT(AC111,$C$111),EXACT(AC111,$C$112),EXACT(AC111,$C$113),EXACT(AC111,$C$114),EXACT(AC111,$C$115),EXACT(AC111,$C$116),EXACT(AC111,$C$117)),4,0)</f>
        <v>0</v>
      </c>
      <c r="AE111" s="1" t="s">
        <v>170</v>
      </c>
      <c r="AF111" s="10">
        <f t="shared" ref="AF111" si="227">IF(OR(EXACT(AE111,$C$110),EXACT(AE111,$C$111),EXACT(AE111,$C$112),EXACT(AE111,$C$113),EXACT(AE111,$C$114),EXACT(AE111,$C$115),EXACT(AE111,$C$116),EXACT(AE111,$C$117)),4,0)</f>
        <v>0</v>
      </c>
      <c r="AG111" s="1" t="s">
        <v>162</v>
      </c>
      <c r="AH111" s="10">
        <f t="shared" ref="AH111" si="228">IF(OR(EXACT(AG111,$C$110),EXACT(AG111,$C$111),EXACT(AG111,$C$112),EXACT(AG111,$C$113),EXACT(AG111,$C$114),EXACT(AG111,$C$115),EXACT(AG111,$C$116),EXACT(AG111,$C$117)),4,0)</f>
        <v>0</v>
      </c>
      <c r="AI111" s="1" t="s">
        <v>167</v>
      </c>
      <c r="AJ111" s="10">
        <f t="shared" ref="AJ111" si="229">IF(OR(EXACT(AI111,$C$110),EXACT(AI111,$C$111),EXACT(AI111,$C$112),EXACT(AI111,$C$113),EXACT(AI111,$C$114),EXACT(AI111,$C$115),EXACT(AI111,$C$116),EXACT(AI111,$C$117)),4,0)</f>
        <v>0</v>
      </c>
      <c r="AK111" s="1" t="s">
        <v>177</v>
      </c>
      <c r="AL111" s="10">
        <f t="shared" ref="AL111" si="230">IF(OR(EXACT(AK111,$C$110),EXACT(AK111,$C$111),EXACT(AK111,$C$112),EXACT(AK111,$C$113),EXACT(AK111,$C$114),EXACT(AK111,$C$115),EXACT(AK111,$C$116),EXACT(AK111,$C$117)),4,0)</f>
        <v>0</v>
      </c>
      <c r="AM111" s="1" t="s">
        <v>168</v>
      </c>
      <c r="AN111" s="10">
        <f t="shared" ref="AN111" si="231">IF(OR(EXACT(AM111,$C$110),EXACT(AM111,$C$111),EXACT(AM111,$C$112),EXACT(AM111,$C$113),EXACT(AM111,$C$114),EXACT(AM111,$C$115),EXACT(AM111,$C$116),EXACT(AM111,$C$117)),4,0)</f>
        <v>0</v>
      </c>
      <c r="AO111" s="1" t="s">
        <v>170</v>
      </c>
      <c r="AP111" s="10">
        <f t="shared" ref="AP111" si="232">IF(OR(EXACT(AO111,$C$110),EXACT(AO111,$C$111),EXACT(AO111,$C$112),EXACT(AO111,$C$113),EXACT(AO111,$C$114),EXACT(AO111,$C$115),EXACT(AO111,$C$116),EXACT(AO111,$C$117)),4,0)</f>
        <v>0</v>
      </c>
      <c r="AQ111" s="1" t="s">
        <v>172</v>
      </c>
      <c r="AR111" s="10">
        <f t="shared" ref="AR111" si="233">IF(OR(EXACT(AQ111,$C$110),EXACT(AQ111,$C$111),EXACT(AQ111,$C$112),EXACT(AQ111,$C$113),EXACT(AQ111,$C$114),EXACT(AQ111,$C$115),EXACT(AQ111,$C$116),EXACT(AQ111,$C$117)),4,0)</f>
        <v>0</v>
      </c>
    </row>
    <row r="112" spans="1:64" ht="14.25" customHeight="1">
      <c r="A112" s="23"/>
      <c r="B112" s="16"/>
      <c r="C112" s="28"/>
      <c r="D112" s="90"/>
      <c r="E112" s="1" t="s">
        <v>176</v>
      </c>
      <c r="F112" s="10">
        <f t="shared" si="215"/>
        <v>0</v>
      </c>
      <c r="G112" s="1" t="s">
        <v>184</v>
      </c>
      <c r="H112" s="10">
        <f t="shared" si="215"/>
        <v>0</v>
      </c>
      <c r="I112" s="1" t="s">
        <v>183</v>
      </c>
      <c r="J112" s="10">
        <f t="shared" ref="J112" si="234">IF(OR(EXACT(I112,$C$110),EXACT(I112,$C$111),EXACT(I112,$C$112),EXACT(I112,$C$113),EXACT(I112,$C$114),EXACT(I112,$C$115),EXACT(I112,$C$116),EXACT(I112,$C$117)),4,0)</f>
        <v>0</v>
      </c>
      <c r="K112" s="1" t="s">
        <v>184</v>
      </c>
      <c r="L112" s="10">
        <f t="shared" ref="L112" si="235">IF(OR(EXACT(K112,$C$110),EXACT(K112,$C$111),EXACT(K112,$C$112),EXACT(K112,$C$113),EXACT(K112,$C$114),EXACT(K112,$C$115),EXACT(K112,$C$116),EXACT(K112,$C$117)),4,0)</f>
        <v>0</v>
      </c>
      <c r="M112" s="1" t="s">
        <v>172</v>
      </c>
      <c r="N112" s="10">
        <f t="shared" ref="N112" si="236">IF(OR(EXACT(M112,$C$110),EXACT(M112,$C$111),EXACT(M112,$C$112),EXACT(M112,$C$113),EXACT(M112,$C$114),EXACT(M112,$C$115),EXACT(M112,$C$116),EXACT(M112,$C$117)),4,0)</f>
        <v>0</v>
      </c>
      <c r="O112" s="112" t="s">
        <v>186</v>
      </c>
      <c r="P112" s="10">
        <f t="shared" ref="P112" si="237">IF(OR(EXACT(O112,$C$110),EXACT(O112,$C$111),EXACT(O112,$C$112),EXACT(O112,$C$113),EXACT(O112,$C$114),EXACT(O112,$C$115),EXACT(O112,$C$116),EXACT(O112,$C$117)),4,0)</f>
        <v>0</v>
      </c>
      <c r="Q112" s="1" t="s">
        <v>167</v>
      </c>
      <c r="R112" s="10">
        <f t="shared" ref="R112" si="238">IF(OR(EXACT(Q112,$C$110),EXACT(Q112,$C$111),EXACT(Q112,$C$112),EXACT(Q112,$C$113),EXACT(Q112,$C$114),EXACT(Q112,$C$115),EXACT(Q112,$C$116),EXACT(Q112,$C$117)),4,0)</f>
        <v>0</v>
      </c>
      <c r="S112" s="1" t="s">
        <v>168</v>
      </c>
      <c r="T112" s="10">
        <f t="shared" ref="T112" si="239">IF(OR(EXACT(S112,$C$110),EXACT(S112,$C$111),EXACT(S112,$C$112),EXACT(S112,$C$113),EXACT(S112,$C$114),EXACT(S112,$C$115),EXACT(S112,$C$116),EXACT(S112,$C$117)),4,0)</f>
        <v>0</v>
      </c>
      <c r="U112" s="1" t="s">
        <v>167</v>
      </c>
      <c r="V112" s="10">
        <f t="shared" ref="V112" si="240">IF(OR(EXACT(U112,$C$110),EXACT(U112,$C$111),EXACT(U112,$C$112),EXACT(U112,$C$113),EXACT(U112,$C$114),EXACT(U112,$C$115),EXACT(U112,$C$116),EXACT(U112,$C$117)),4,0)</f>
        <v>0</v>
      </c>
      <c r="W112" s="1" t="s">
        <v>176</v>
      </c>
      <c r="X112" s="10">
        <f t="shared" ref="X112" si="241">IF(OR(EXACT(W112,$C$110),EXACT(W112,$C$111),EXACT(W112,$C$112),EXACT(W112,$C$113),EXACT(W112,$C$114),EXACT(W112,$C$115),EXACT(W112,$C$116),EXACT(W112,$C$117)),4,0)</f>
        <v>0</v>
      </c>
      <c r="Y112" s="1" t="s">
        <v>167</v>
      </c>
      <c r="Z112" s="10">
        <f t="shared" ref="Z112" si="242">IF(OR(EXACT(Y112,$C$110),EXACT(Y112,$C$111),EXACT(Y112,$C$112),EXACT(Y112,$C$113),EXACT(Y112,$C$114),EXACT(Y112,$C$115),EXACT(Y112,$C$116),EXACT(Y112,$C$117)),4,0)</f>
        <v>0</v>
      </c>
      <c r="AA112" s="112" t="s">
        <v>162</v>
      </c>
      <c r="AB112" s="10">
        <f t="shared" ref="AB112" si="243">IF(OR(EXACT(AA112,$C$110),EXACT(AA112,$C$111),EXACT(AA112,$C$112),EXACT(AA112,$C$113),EXACT(AA112,$C$114),EXACT(AA112,$C$115),EXACT(AA112,$C$116),EXACT(AA112,$C$117)),4,0)</f>
        <v>0</v>
      </c>
      <c r="AC112" s="1" t="s">
        <v>167</v>
      </c>
      <c r="AD112" s="10">
        <f t="shared" ref="AD112" si="244">IF(OR(EXACT(AC112,$C$110),EXACT(AC112,$C$111),EXACT(AC112,$C$112),EXACT(AC112,$C$113),EXACT(AC112,$C$114),EXACT(AC112,$C$115),EXACT(AC112,$C$116),EXACT(AC112,$C$117)),4,0)</f>
        <v>0</v>
      </c>
      <c r="AE112" s="1" t="s">
        <v>162</v>
      </c>
      <c r="AF112" s="10">
        <f t="shared" ref="AF112" si="245">IF(OR(EXACT(AE112,$C$110),EXACT(AE112,$C$111),EXACT(AE112,$C$112),EXACT(AE112,$C$113),EXACT(AE112,$C$114),EXACT(AE112,$C$115),EXACT(AE112,$C$116),EXACT(AE112,$C$117)),4,0)</f>
        <v>0</v>
      </c>
      <c r="AG112" s="1" t="s">
        <v>170</v>
      </c>
      <c r="AH112" s="10">
        <f t="shared" ref="AH112" si="246">IF(OR(EXACT(AG112,$C$110),EXACT(AG112,$C$111),EXACT(AG112,$C$112),EXACT(AG112,$C$113),EXACT(AG112,$C$114),EXACT(AG112,$C$115),EXACT(AG112,$C$116),EXACT(AG112,$C$117)),4,0)</f>
        <v>0</v>
      </c>
      <c r="AI112" s="1" t="s">
        <v>182</v>
      </c>
      <c r="AJ112" s="10">
        <f t="shared" ref="AJ112" si="247">IF(OR(EXACT(AI112,$C$110),EXACT(AI112,$C$111),EXACT(AI112,$C$112),EXACT(AI112,$C$113),EXACT(AI112,$C$114),EXACT(AI112,$C$115),EXACT(AI112,$C$116),EXACT(AI112,$C$117)),4,0)</f>
        <v>0</v>
      </c>
      <c r="AK112" s="1" t="s">
        <v>176</v>
      </c>
      <c r="AL112" s="10">
        <f t="shared" ref="AL112" si="248">IF(OR(EXACT(AK112,$C$110),EXACT(AK112,$C$111),EXACT(AK112,$C$112),EXACT(AK112,$C$113),EXACT(AK112,$C$114),EXACT(AK112,$C$115),EXACT(AK112,$C$116),EXACT(AK112,$C$117)),4,0)</f>
        <v>0</v>
      </c>
      <c r="AM112" s="1" t="s">
        <v>170</v>
      </c>
      <c r="AN112" s="10">
        <f t="shared" ref="AN112" si="249">IF(OR(EXACT(AM112,$C$110),EXACT(AM112,$C$111),EXACT(AM112,$C$112),EXACT(AM112,$C$113),EXACT(AM112,$C$114),EXACT(AM112,$C$115),EXACT(AM112,$C$116),EXACT(AM112,$C$117)),4,0)</f>
        <v>0</v>
      </c>
      <c r="AO112" s="1" t="s">
        <v>162</v>
      </c>
      <c r="AP112" s="10">
        <f t="shared" ref="AP112" si="250">IF(OR(EXACT(AO112,$C$110),EXACT(AO112,$C$111),EXACT(AO112,$C$112),EXACT(AO112,$C$113),EXACT(AO112,$C$114),EXACT(AO112,$C$115),EXACT(AO112,$C$116),EXACT(AO112,$C$117)),4,0)</f>
        <v>0</v>
      </c>
      <c r="AQ112" s="1" t="s">
        <v>167</v>
      </c>
      <c r="AR112" s="10">
        <f t="shared" ref="AR112" si="251">IF(OR(EXACT(AQ112,$C$110),EXACT(AQ112,$C$111),EXACT(AQ112,$C$112),EXACT(AQ112,$C$113),EXACT(AQ112,$C$114),EXACT(AQ112,$C$115),EXACT(AQ112,$C$116),EXACT(AQ112,$C$117)),4,0)</f>
        <v>0</v>
      </c>
    </row>
    <row r="113" spans="1:64" ht="12.75" customHeight="1">
      <c r="A113" s="23"/>
      <c r="B113" s="16"/>
      <c r="C113" s="28"/>
      <c r="D113" s="90"/>
      <c r="E113" s="1" t="s">
        <v>170</v>
      </c>
      <c r="F113" s="10">
        <f t="shared" si="215"/>
        <v>0</v>
      </c>
      <c r="G113" s="1" t="s">
        <v>170</v>
      </c>
      <c r="H113" s="10">
        <f t="shared" si="215"/>
        <v>0</v>
      </c>
      <c r="I113" s="1" t="s">
        <v>167</v>
      </c>
      <c r="J113" s="10">
        <f t="shared" ref="J113" si="252">IF(OR(EXACT(I113,$C$110),EXACT(I113,$C$111),EXACT(I113,$C$112),EXACT(I113,$C$113),EXACT(I113,$C$114),EXACT(I113,$C$115),EXACT(I113,$C$116),EXACT(I113,$C$117)),4,0)</f>
        <v>0</v>
      </c>
      <c r="K113" s="1" t="s">
        <v>157</v>
      </c>
      <c r="L113" s="10">
        <f t="shared" ref="L113" si="253">IF(OR(EXACT(K113,$C$110),EXACT(K113,$C$111),EXACT(K113,$C$112),EXACT(K113,$C$113),EXACT(K113,$C$114),EXACT(K113,$C$115),EXACT(K113,$C$116),EXACT(K113,$C$117)),4,0)</f>
        <v>0</v>
      </c>
      <c r="M113" s="1" t="s">
        <v>168</v>
      </c>
      <c r="N113" s="10">
        <f t="shared" ref="N113" si="254">IF(OR(EXACT(M113,$C$110),EXACT(M113,$C$111),EXACT(M113,$C$112),EXACT(M113,$C$113),EXACT(M113,$C$114),EXACT(M113,$C$115),EXACT(M113,$C$116),EXACT(M113,$C$117)),4,0)</f>
        <v>0</v>
      </c>
      <c r="O113" s="112" t="s">
        <v>183</v>
      </c>
      <c r="P113" s="10">
        <f t="shared" ref="P113" si="255">IF(OR(EXACT(O113,$C$110),EXACT(O113,$C$111),EXACT(O113,$C$112),EXACT(O113,$C$113),EXACT(O113,$C$114),EXACT(O113,$C$115),EXACT(O113,$C$116),EXACT(O113,$C$117)),4,0)</f>
        <v>0</v>
      </c>
      <c r="Q113" s="1" t="s">
        <v>169</v>
      </c>
      <c r="R113" s="10">
        <f t="shared" ref="R113" si="256">IF(OR(EXACT(Q113,$C$110),EXACT(Q113,$C$111),EXACT(Q113,$C$112),EXACT(Q113,$C$113),EXACT(Q113,$C$114),EXACT(Q113,$C$115),EXACT(Q113,$C$116),EXACT(Q113,$C$117)),4,0)</f>
        <v>0</v>
      </c>
      <c r="S113" s="1" t="s">
        <v>177</v>
      </c>
      <c r="T113" s="10">
        <f t="shared" ref="T113" si="257">IF(OR(EXACT(S113,$C$110),EXACT(S113,$C$111),EXACT(S113,$C$112),EXACT(S113,$C$113),EXACT(S113,$C$114),EXACT(S113,$C$115),EXACT(S113,$C$116),EXACT(S113,$C$117)),4,0)</f>
        <v>0</v>
      </c>
      <c r="U113" s="1" t="s">
        <v>176</v>
      </c>
      <c r="V113" s="10">
        <f t="shared" ref="V113" si="258">IF(OR(EXACT(U113,$C$110),EXACT(U113,$C$111),EXACT(U113,$C$112),EXACT(U113,$C$113),EXACT(U113,$C$114),EXACT(U113,$C$115),EXACT(U113,$C$116),EXACT(U113,$C$117)),4,0)</f>
        <v>0</v>
      </c>
      <c r="W113" s="1" t="s">
        <v>184</v>
      </c>
      <c r="X113" s="10">
        <f t="shared" ref="X113" si="259">IF(OR(EXACT(W113,$C$110),EXACT(W113,$C$111),EXACT(W113,$C$112),EXACT(W113,$C$113),EXACT(W113,$C$114),EXACT(W113,$C$115),EXACT(W113,$C$116),EXACT(W113,$C$117)),4,0)</f>
        <v>0</v>
      </c>
      <c r="Y113" s="1" t="s">
        <v>168</v>
      </c>
      <c r="Z113" s="10">
        <f t="shared" ref="Z113" si="260">IF(OR(EXACT(Y113,$C$110),EXACT(Y113,$C$111),EXACT(Y113,$C$112),EXACT(Y113,$C$113),EXACT(Y113,$C$114),EXACT(Y113,$C$115),EXACT(Y113,$C$116),EXACT(Y113,$C$117)),4,0)</f>
        <v>0</v>
      </c>
      <c r="AA113" s="112" t="s">
        <v>186</v>
      </c>
      <c r="AB113" s="10">
        <f t="shared" ref="AB113" si="261">IF(OR(EXACT(AA113,$C$110),EXACT(AA113,$C$111),EXACT(AA113,$C$112),EXACT(AA113,$C$113),EXACT(AA113,$C$114),EXACT(AA113,$C$115),EXACT(AA113,$C$116),EXACT(AA113,$C$117)),4,0)</f>
        <v>0</v>
      </c>
      <c r="AC113" s="1" t="s">
        <v>168</v>
      </c>
      <c r="AD113" s="10">
        <f t="shared" ref="AD113" si="262">IF(OR(EXACT(AC113,$C$110),EXACT(AC113,$C$111),EXACT(AC113,$C$112),EXACT(AC113,$C$113),EXACT(AC113,$C$114),EXACT(AC113,$C$115),EXACT(AC113,$C$116),EXACT(AC113,$C$117)),4,0)</f>
        <v>0</v>
      </c>
      <c r="AE113" s="1" t="s">
        <v>167</v>
      </c>
      <c r="AF113" s="10">
        <f t="shared" ref="AF113" si="263">IF(OR(EXACT(AE113,$C$110),EXACT(AE113,$C$111),EXACT(AE113,$C$112),EXACT(AE113,$C$113),EXACT(AE113,$C$114),EXACT(AE113,$C$115),EXACT(AE113,$C$116),EXACT(AE113,$C$117)),4,0)</f>
        <v>0</v>
      </c>
      <c r="AG113" s="1" t="s">
        <v>168</v>
      </c>
      <c r="AH113" s="10">
        <f t="shared" ref="AH113" si="264">IF(OR(EXACT(AG113,$C$110),EXACT(AG113,$C$111),EXACT(AG113,$C$112),EXACT(AG113,$C$113),EXACT(AG113,$C$114),EXACT(AG113,$C$115),EXACT(AG113,$C$116),EXACT(AG113,$C$117)),4,0)</f>
        <v>0</v>
      </c>
      <c r="AI113" s="1" t="s">
        <v>176</v>
      </c>
      <c r="AJ113" s="10">
        <f t="shared" ref="AJ113" si="265">IF(OR(EXACT(AI113,$C$110),EXACT(AI113,$C$111),EXACT(AI113,$C$112),EXACT(AI113,$C$113),EXACT(AI113,$C$114),EXACT(AI113,$C$115),EXACT(AI113,$C$116),EXACT(AI113,$C$117)),4,0)</f>
        <v>0</v>
      </c>
      <c r="AK113" s="1" t="s">
        <v>182</v>
      </c>
      <c r="AL113" s="10">
        <f t="shared" ref="AL113" si="266">IF(OR(EXACT(AK113,$C$110),EXACT(AK113,$C$111),EXACT(AK113,$C$112),EXACT(AK113,$C$113),EXACT(AK113,$C$114),EXACT(AK113,$C$115),EXACT(AK113,$C$116),EXACT(AK113,$C$117)),4,0)</f>
        <v>0</v>
      </c>
      <c r="AM113" s="1" t="s">
        <v>176</v>
      </c>
      <c r="AN113" s="10">
        <f t="shared" ref="AN113" si="267">IF(OR(EXACT(AM113,$C$110),EXACT(AM113,$C$111),EXACT(AM113,$C$112),EXACT(AM113,$C$113),EXACT(AM113,$C$114),EXACT(AM113,$C$115),EXACT(AM113,$C$116),EXACT(AM113,$C$117)),4,0)</f>
        <v>0</v>
      </c>
      <c r="AO113" s="1" t="s">
        <v>176</v>
      </c>
      <c r="AP113" s="10">
        <f t="shared" ref="AP113" si="268">IF(OR(EXACT(AO113,$C$110),EXACT(AO113,$C$111),EXACT(AO113,$C$112),EXACT(AO113,$C$113),EXACT(AO113,$C$114),EXACT(AO113,$C$115),EXACT(AO113,$C$116),EXACT(AO113,$C$117)),4,0)</f>
        <v>0</v>
      </c>
      <c r="AQ113" s="1" t="s">
        <v>168</v>
      </c>
      <c r="AR113" s="10">
        <f t="shared" ref="AR113" si="269">IF(OR(EXACT(AQ113,$C$110),EXACT(AQ113,$C$111),EXACT(AQ113,$C$112),EXACT(AQ113,$C$113),EXACT(AQ113,$C$114),EXACT(AQ113,$C$115),EXACT(AQ113,$C$116),EXACT(AQ113,$C$117)),4,0)</f>
        <v>0</v>
      </c>
    </row>
    <row r="114" spans="1:64" ht="12.75" customHeight="1">
      <c r="C114" s="1"/>
      <c r="D114" s="73"/>
      <c r="E114" s="1" t="s">
        <v>168</v>
      </c>
      <c r="F114" s="10">
        <f t="shared" si="215"/>
        <v>0</v>
      </c>
      <c r="G114" s="1" t="s">
        <v>168</v>
      </c>
      <c r="H114" s="10">
        <f t="shared" si="215"/>
        <v>0</v>
      </c>
      <c r="I114" s="1" t="s">
        <v>184</v>
      </c>
      <c r="J114" s="10">
        <f t="shared" ref="J114" si="270">IF(OR(EXACT(I114,$C$110),EXACT(I114,$C$111),EXACT(I114,$C$112),EXACT(I114,$C$113),EXACT(I114,$C$114),EXACT(I114,$C$115),EXACT(I114,$C$116),EXACT(I114,$C$117)),4,0)</f>
        <v>0</v>
      </c>
      <c r="K114" s="1" t="s">
        <v>168</v>
      </c>
      <c r="L114" s="10">
        <f t="shared" ref="L114" si="271">IF(OR(EXACT(K114,$C$110),EXACT(K114,$C$111),EXACT(K114,$C$112),EXACT(K114,$C$113),EXACT(K114,$C$114),EXACT(K114,$C$115),EXACT(K114,$C$116),EXACT(K114,$C$117)),4,0)</f>
        <v>0</v>
      </c>
      <c r="M114" s="1" t="s">
        <v>170</v>
      </c>
      <c r="N114" s="10">
        <f t="shared" ref="N114" si="272">IF(OR(EXACT(M114,$C$110),EXACT(M114,$C$111),EXACT(M114,$C$112),EXACT(M114,$C$113),EXACT(M114,$C$114),EXACT(M114,$C$115),EXACT(M114,$C$116),EXACT(M114,$C$117)),4,0)</f>
        <v>0</v>
      </c>
      <c r="O114" s="112" t="s">
        <v>175</v>
      </c>
      <c r="P114" s="10">
        <f t="shared" ref="P114" si="273">IF(OR(EXACT(O114,$C$110),EXACT(O114,$C$111),EXACT(O114,$C$112),EXACT(O114,$C$113),EXACT(O114,$C$114),EXACT(O114,$C$115),EXACT(O114,$C$116),EXACT(O114,$C$117)),4,0)</f>
        <v>0</v>
      </c>
      <c r="Q114" s="1" t="s">
        <v>163</v>
      </c>
      <c r="R114" s="10">
        <f t="shared" ref="R114" si="274">IF(OR(EXACT(Q114,$C$110),EXACT(Q114,$C$111),EXACT(Q114,$C$112),EXACT(Q114,$C$113),EXACT(Q114,$C$114),EXACT(Q114,$C$115),EXACT(Q114,$C$116),EXACT(Q114,$C$117)),4,0)</f>
        <v>0</v>
      </c>
      <c r="S114" s="1" t="s">
        <v>170</v>
      </c>
      <c r="T114" s="10">
        <f t="shared" ref="T114" si="275">IF(OR(EXACT(S114,$C$110),EXACT(S114,$C$111),EXACT(S114,$C$112),EXACT(S114,$C$113),EXACT(S114,$C$114),EXACT(S114,$C$115),EXACT(S114,$C$116),EXACT(S114,$C$117)),4,0)</f>
        <v>0</v>
      </c>
      <c r="U114" s="1" t="s">
        <v>184</v>
      </c>
      <c r="V114" s="10">
        <f t="shared" ref="V114" si="276">IF(OR(EXACT(U114,$C$110),EXACT(U114,$C$111),EXACT(U114,$C$112),EXACT(U114,$C$113),EXACT(U114,$C$114),EXACT(U114,$C$115),EXACT(U114,$C$116),EXACT(U114,$C$117)),4,0)</f>
        <v>0</v>
      </c>
      <c r="W114" s="1" t="s">
        <v>168</v>
      </c>
      <c r="X114" s="10">
        <f t="shared" ref="X114" si="277">IF(OR(EXACT(W114,$C$110),EXACT(W114,$C$111),EXACT(W114,$C$112),EXACT(W114,$C$113),EXACT(W114,$C$114),EXACT(W114,$C$115),EXACT(W114,$C$116),EXACT(W114,$C$117)),4,0)</f>
        <v>0</v>
      </c>
      <c r="Y114" s="1" t="s">
        <v>176</v>
      </c>
      <c r="Z114" s="10">
        <f t="shared" ref="Z114" si="278">IF(OR(EXACT(Y114,$C$110),EXACT(Y114,$C$111),EXACT(Y114,$C$112),EXACT(Y114,$C$113),EXACT(Y114,$C$114),EXACT(Y114,$C$115),EXACT(Y114,$C$116),EXACT(Y114,$C$117)),4,0)</f>
        <v>0</v>
      </c>
      <c r="AA114" s="112" t="s">
        <v>191</v>
      </c>
      <c r="AB114" s="10">
        <f t="shared" ref="AB114" si="279">IF(OR(EXACT(AA114,$C$110),EXACT(AA114,$C$111),EXACT(AA114,$C$112),EXACT(AA114,$C$113),EXACT(AA114,$C$114),EXACT(AA114,$C$115),EXACT(AA114,$C$116),EXACT(AA114,$C$117)),4,0)</f>
        <v>0</v>
      </c>
      <c r="AC114" s="1" t="s">
        <v>184</v>
      </c>
      <c r="AD114" s="10">
        <f t="shared" ref="AD114" si="280">IF(OR(EXACT(AC114,$C$110),EXACT(AC114,$C$111),EXACT(AC114,$C$112),EXACT(AC114,$C$113),EXACT(AC114,$C$114),EXACT(AC114,$C$115),EXACT(AC114,$C$116),EXACT(AC114,$C$117)),4,0)</f>
        <v>0</v>
      </c>
      <c r="AE114" s="1" t="s">
        <v>176</v>
      </c>
      <c r="AF114" s="10">
        <f t="shared" ref="AF114" si="281">IF(OR(EXACT(AE114,$C$110),EXACT(AE114,$C$111),EXACT(AE114,$C$112),EXACT(AE114,$C$113),EXACT(AE114,$C$114),EXACT(AE114,$C$115),EXACT(AE114,$C$116),EXACT(AE114,$C$117)),4,0)</f>
        <v>0</v>
      </c>
      <c r="AG114" s="1" t="s">
        <v>176</v>
      </c>
      <c r="AH114" s="10">
        <f t="shared" ref="AH114" si="282">IF(OR(EXACT(AG114,$C$110),EXACT(AG114,$C$111),EXACT(AG114,$C$112),EXACT(AG114,$C$113),EXACT(AG114,$C$114),EXACT(AG114,$C$115),EXACT(AG114,$C$116),EXACT(AG114,$C$117)),4,0)</f>
        <v>0</v>
      </c>
      <c r="AI114" s="1" t="s">
        <v>168</v>
      </c>
      <c r="AJ114" s="10">
        <f t="shared" ref="AJ114" si="283">IF(OR(EXACT(AI114,$C$110),EXACT(AI114,$C$111),EXACT(AI114,$C$112),EXACT(AI114,$C$113),EXACT(AI114,$C$114),EXACT(AI114,$C$115),EXACT(AI114,$C$116),EXACT(AI114,$C$117)),4,0)</f>
        <v>0</v>
      </c>
      <c r="AK114" s="1" t="s">
        <v>183</v>
      </c>
      <c r="AL114" s="10">
        <f t="shared" ref="AL114" si="284">IF(OR(EXACT(AK114,$C$110),EXACT(AK114,$C$111),EXACT(AK114,$C$112),EXACT(AK114,$C$113),EXACT(AK114,$C$114),EXACT(AK114,$C$115),EXACT(AK114,$C$116),EXACT(AK114,$C$117)),4,0)</f>
        <v>0</v>
      </c>
      <c r="AM114" s="1" t="s">
        <v>172</v>
      </c>
      <c r="AN114" s="10">
        <f t="shared" ref="AN114" si="285">IF(OR(EXACT(AM114,$C$110),EXACT(AM114,$C$111),EXACT(AM114,$C$112),EXACT(AM114,$C$113),EXACT(AM114,$C$114),EXACT(AM114,$C$115),EXACT(AM114,$C$116),EXACT(AM114,$C$117)),4,0)</f>
        <v>0</v>
      </c>
      <c r="AO114" s="1" t="s">
        <v>167</v>
      </c>
      <c r="AP114" s="10">
        <f t="shared" ref="AP114" si="286">IF(OR(EXACT(AO114,$C$110),EXACT(AO114,$C$111),EXACT(AO114,$C$112),EXACT(AO114,$C$113),EXACT(AO114,$C$114),EXACT(AO114,$C$115),EXACT(AO114,$C$116),EXACT(AO114,$C$117)),4,0)</f>
        <v>0</v>
      </c>
      <c r="AQ114" s="1" t="s">
        <v>169</v>
      </c>
      <c r="AR114" s="10">
        <f t="shared" ref="AR114" si="287">IF(OR(EXACT(AQ114,$C$110),EXACT(AQ114,$C$111),EXACT(AQ114,$C$112),EXACT(AQ114,$C$113),EXACT(AQ114,$C$114),EXACT(AQ114,$C$115),EXACT(AQ114,$C$116),EXACT(AQ114,$C$117)),4,0)</f>
        <v>0</v>
      </c>
    </row>
    <row r="115" spans="1:64" ht="12.75" customHeight="1">
      <c r="C115" s="1"/>
      <c r="D115" s="73"/>
      <c r="E115" s="1" t="s">
        <v>172</v>
      </c>
      <c r="F115" s="10">
        <f t="shared" si="215"/>
        <v>0</v>
      </c>
      <c r="G115" s="1" t="s">
        <v>169</v>
      </c>
      <c r="H115" s="10">
        <f t="shared" si="215"/>
        <v>0</v>
      </c>
      <c r="I115" s="1" t="s">
        <v>172</v>
      </c>
      <c r="J115" s="10">
        <f t="shared" ref="J115" si="288">IF(OR(EXACT(I115,$C$110),EXACT(I115,$C$111),EXACT(I115,$C$112),EXACT(I115,$C$113),EXACT(I115,$C$114),EXACT(I115,$C$115),EXACT(I115,$C$116),EXACT(I115,$C$117)),4,0)</f>
        <v>0</v>
      </c>
      <c r="K115" s="1" t="s">
        <v>169</v>
      </c>
      <c r="L115" s="10">
        <f t="shared" ref="L115" si="289">IF(OR(EXACT(K115,$C$110),EXACT(K115,$C$111),EXACT(K115,$C$112),EXACT(K115,$C$113),EXACT(K115,$C$114),EXACT(K115,$C$115),EXACT(K115,$C$116),EXACT(K115,$C$117)),4,0)</f>
        <v>0</v>
      </c>
      <c r="M115" s="1" t="s">
        <v>157</v>
      </c>
      <c r="N115" s="10">
        <f t="shared" ref="N115" si="290">IF(OR(EXACT(M115,$C$110),EXACT(M115,$C$111),EXACT(M115,$C$112),EXACT(M115,$C$113),EXACT(M115,$C$114),EXACT(M115,$C$115),EXACT(M115,$C$116),EXACT(M115,$C$117)),4,0)</f>
        <v>0</v>
      </c>
      <c r="O115" s="112" t="s">
        <v>168</v>
      </c>
      <c r="P115" s="10">
        <f t="shared" ref="P115" si="291">IF(OR(EXACT(O115,$C$110),EXACT(O115,$C$111),EXACT(O115,$C$112),EXACT(O115,$C$113),EXACT(O115,$C$114),EXACT(O115,$C$115),EXACT(O115,$C$116),EXACT(O115,$C$117)),4,0)</f>
        <v>0</v>
      </c>
      <c r="Q115" s="1" t="s">
        <v>177</v>
      </c>
      <c r="R115" s="10">
        <f t="shared" ref="R115" si="292">IF(OR(EXACT(Q115,$C$110),EXACT(Q115,$C$111),EXACT(Q115,$C$112),EXACT(Q115,$C$113),EXACT(Q115,$C$114),EXACT(Q115,$C$115),EXACT(Q115,$C$116),EXACT(Q115,$C$117)),4,0)</f>
        <v>0</v>
      </c>
      <c r="S115" s="1" t="s">
        <v>184</v>
      </c>
      <c r="T115" s="10">
        <f t="shared" ref="T115" si="293">IF(OR(EXACT(S115,$C$110),EXACT(S115,$C$111),EXACT(S115,$C$112),EXACT(S115,$C$113),EXACT(S115,$C$114),EXACT(S115,$C$115),EXACT(S115,$C$116),EXACT(S115,$C$117)),4,0)</f>
        <v>0</v>
      </c>
      <c r="U115" s="1" t="s">
        <v>172</v>
      </c>
      <c r="V115" s="10">
        <f t="shared" ref="V115" si="294">IF(OR(EXACT(U115,$C$110),EXACT(U115,$C$111),EXACT(U115,$C$112),EXACT(U115,$C$113),EXACT(U115,$C$114),EXACT(U115,$C$115),EXACT(U115,$C$116),EXACT(U115,$C$117)),4,0)</f>
        <v>0</v>
      </c>
      <c r="W115" s="1" t="s">
        <v>172</v>
      </c>
      <c r="X115" s="10">
        <f t="shared" ref="X115" si="295">IF(OR(EXACT(W115,$C$110),EXACT(W115,$C$111),EXACT(W115,$C$112),EXACT(W115,$C$113),EXACT(W115,$C$114),EXACT(W115,$C$115),EXACT(W115,$C$116),EXACT(W115,$C$117)),4,0)</f>
        <v>0</v>
      </c>
      <c r="Y115" s="1" t="s">
        <v>184</v>
      </c>
      <c r="Z115" s="10">
        <f t="shared" ref="Z115" si="296">IF(OR(EXACT(Y115,$C$110),EXACT(Y115,$C$111),EXACT(Y115,$C$112),EXACT(Y115,$C$113),EXACT(Y115,$C$114),EXACT(Y115,$C$115),EXACT(Y115,$C$116),EXACT(Y115,$C$117)),4,0)</f>
        <v>0</v>
      </c>
      <c r="AA115" s="112" t="s">
        <v>168</v>
      </c>
      <c r="AB115" s="10">
        <f t="shared" ref="AB115" si="297">IF(OR(EXACT(AA115,$C$110),EXACT(AA115,$C$111),EXACT(AA115,$C$112),EXACT(AA115,$C$113),EXACT(AA115,$C$114),EXACT(AA115,$C$115),EXACT(AA115,$C$116),EXACT(AA115,$C$117)),4,0)</f>
        <v>0</v>
      </c>
      <c r="AC115" s="1" t="s">
        <v>170</v>
      </c>
      <c r="AD115" s="10">
        <f t="shared" ref="AD115" si="298">IF(OR(EXACT(AC115,$C$110),EXACT(AC115,$C$111),EXACT(AC115,$C$112),EXACT(AC115,$C$113),EXACT(AC115,$C$114),EXACT(AC115,$C$115),EXACT(AC115,$C$116),EXACT(AC115,$C$117)),4,0)</f>
        <v>0</v>
      </c>
      <c r="AE115" s="1" t="s">
        <v>183</v>
      </c>
      <c r="AF115" s="10">
        <f t="shared" ref="AF115" si="299">IF(OR(EXACT(AE115,$C$110),EXACT(AE115,$C$111),EXACT(AE115,$C$112),EXACT(AE115,$C$113),EXACT(AE115,$C$114),EXACT(AE115,$C$115),EXACT(AE115,$C$116),EXACT(AE115,$C$117)),4,0)</f>
        <v>0</v>
      </c>
      <c r="AG115" s="1" t="s">
        <v>171</v>
      </c>
      <c r="AH115" s="10">
        <f t="shared" ref="AH115" si="300">IF(OR(EXACT(AG115,$C$110),EXACT(AG115,$C$111),EXACT(AG115,$C$112),EXACT(AG115,$C$113),EXACT(AG115,$C$114),EXACT(AG115,$C$115),EXACT(AG115,$C$116),EXACT(AG115,$C$117)),4,0)</f>
        <v>0</v>
      </c>
      <c r="AI115" s="1" t="s">
        <v>172</v>
      </c>
      <c r="AJ115" s="10">
        <f t="shared" ref="AJ115" si="301">IF(OR(EXACT(AI115,$C$110),EXACT(AI115,$C$111),EXACT(AI115,$C$112),EXACT(AI115,$C$113),EXACT(AI115,$C$114),EXACT(AI115,$C$115),EXACT(AI115,$C$116),EXACT(AI115,$C$117)),4,0)</f>
        <v>0</v>
      </c>
      <c r="AK115" s="1" t="s">
        <v>170</v>
      </c>
      <c r="AL115" s="10">
        <f t="shared" ref="AL115" si="302">IF(OR(EXACT(AK115,$C$110),EXACT(AK115,$C$111),EXACT(AK115,$C$112),EXACT(AK115,$C$113),EXACT(AK115,$C$114),EXACT(AK115,$C$115),EXACT(AK115,$C$116),EXACT(AK115,$C$117)),4,0)</f>
        <v>0</v>
      </c>
      <c r="AM115" s="1" t="s">
        <v>167</v>
      </c>
      <c r="AN115" s="10">
        <f t="shared" ref="AN115" si="303">IF(OR(EXACT(AM115,$C$110),EXACT(AM115,$C$111),EXACT(AM115,$C$112),EXACT(AM115,$C$113),EXACT(AM115,$C$114),EXACT(AM115,$C$115),EXACT(AM115,$C$116),EXACT(AM115,$C$117)),4,0)</f>
        <v>0</v>
      </c>
      <c r="AO115" s="1" t="s">
        <v>172</v>
      </c>
      <c r="AP115" s="10">
        <f t="shared" ref="AP115" si="304">IF(OR(EXACT(AO115,$C$110),EXACT(AO115,$C$111),EXACT(AO115,$C$112),EXACT(AO115,$C$113),EXACT(AO115,$C$114),EXACT(AO115,$C$115),EXACT(AO115,$C$116),EXACT(AO115,$C$117)),4,0)</f>
        <v>0</v>
      </c>
      <c r="AQ115" s="1" t="s">
        <v>184</v>
      </c>
      <c r="AR115" s="10">
        <f t="shared" ref="AR115" si="305">IF(OR(EXACT(AQ115,$C$110),EXACT(AQ115,$C$111),EXACT(AQ115,$C$112),EXACT(AQ115,$C$113),EXACT(AQ115,$C$114),EXACT(AQ115,$C$115),EXACT(AQ115,$C$116),EXACT(AQ115,$C$117)),4,0)</f>
        <v>0</v>
      </c>
    </row>
    <row r="116" spans="1:64" ht="12.75" customHeight="1">
      <c r="C116" s="1"/>
      <c r="D116" s="73"/>
      <c r="E116" s="1" t="s">
        <v>183</v>
      </c>
      <c r="F116" s="10">
        <f t="shared" si="215"/>
        <v>0</v>
      </c>
      <c r="G116" s="1" t="s">
        <v>177</v>
      </c>
      <c r="H116" s="10">
        <f t="shared" si="215"/>
        <v>0</v>
      </c>
      <c r="I116" s="1" t="s">
        <v>168</v>
      </c>
      <c r="J116" s="10">
        <f t="shared" ref="J116" si="306">IF(OR(EXACT(I116,$C$110),EXACT(I116,$C$111),EXACT(I116,$C$112),EXACT(I116,$C$113),EXACT(I116,$C$114),EXACT(I116,$C$115),EXACT(I116,$C$116),EXACT(I116,$C$117)),4,0)</f>
        <v>0</v>
      </c>
      <c r="K116" s="1" t="s">
        <v>183</v>
      </c>
      <c r="L116" s="10">
        <f t="shared" ref="L116" si="307">IF(OR(EXACT(K116,$C$110),EXACT(K116,$C$111),EXACT(K116,$C$112),EXACT(K116,$C$113),EXACT(K116,$C$114),EXACT(K116,$C$115),EXACT(K116,$C$116),EXACT(K116,$C$117)),4,0)</f>
        <v>0</v>
      </c>
      <c r="M116" s="1" t="s">
        <v>176</v>
      </c>
      <c r="N116" s="10">
        <f t="shared" ref="N116" si="308">IF(OR(EXACT(M116,$C$110),EXACT(M116,$C$111),EXACT(M116,$C$112),EXACT(M116,$C$113),EXACT(M116,$C$114),EXACT(M116,$C$115),EXACT(M116,$C$116),EXACT(M116,$C$117)),4,0)</f>
        <v>0</v>
      </c>
      <c r="O116" s="112" t="s">
        <v>191</v>
      </c>
      <c r="P116" s="10">
        <f t="shared" ref="P116" si="309">IF(OR(EXACT(O116,$C$110),EXACT(O116,$C$111),EXACT(O116,$C$112),EXACT(O116,$C$113),EXACT(O116,$C$114),EXACT(O116,$C$115),EXACT(O116,$C$116),EXACT(O116,$C$117)),4,0)</f>
        <v>0</v>
      </c>
      <c r="Q116" s="1" t="s">
        <v>184</v>
      </c>
      <c r="R116" s="10">
        <f t="shared" ref="R116" si="310">IF(OR(EXACT(Q116,$C$110),EXACT(Q116,$C$111),EXACT(Q116,$C$112),EXACT(Q116,$C$113),EXACT(Q116,$C$114),EXACT(Q116,$C$115),EXACT(Q116,$C$116),EXACT(Q116,$C$117)),4,0)</f>
        <v>0</v>
      </c>
      <c r="S116" s="1" t="s">
        <v>183</v>
      </c>
      <c r="T116" s="10">
        <f t="shared" ref="T116" si="311">IF(OR(EXACT(S116,$C$110),EXACT(S116,$C$111),EXACT(S116,$C$112),EXACT(S116,$C$113),EXACT(S116,$C$114),EXACT(S116,$C$115),EXACT(S116,$C$116),EXACT(S116,$C$117)),4,0)</f>
        <v>0</v>
      </c>
      <c r="U116" s="1" t="s">
        <v>162</v>
      </c>
      <c r="V116" s="10">
        <f t="shared" ref="V116" si="312">IF(OR(EXACT(U116,$C$110),EXACT(U116,$C$111),EXACT(U116,$C$112),EXACT(U116,$C$113),EXACT(U116,$C$114),EXACT(U116,$C$115),EXACT(U116,$C$116),EXACT(U116,$C$117)),4,0)</f>
        <v>0</v>
      </c>
      <c r="W116" s="1" t="s">
        <v>183</v>
      </c>
      <c r="X116" s="10">
        <f t="shared" ref="X116" si="313">IF(OR(EXACT(W116,$C$110),EXACT(W116,$C$111),EXACT(W116,$C$112),EXACT(W116,$C$113),EXACT(W116,$C$114),EXACT(W116,$C$115),EXACT(W116,$C$116),EXACT(W116,$C$117)),4,0)</f>
        <v>0</v>
      </c>
      <c r="Y116" s="1" t="s">
        <v>183</v>
      </c>
      <c r="Z116" s="10">
        <f t="shared" ref="Z116" si="314">IF(OR(EXACT(Y116,$C$110),EXACT(Y116,$C$111),EXACT(Y116,$C$112),EXACT(Y116,$C$113),EXACT(Y116,$C$114),EXACT(Y116,$C$115),EXACT(Y116,$C$116),EXACT(Y116,$C$117)),4,0)</f>
        <v>0</v>
      </c>
      <c r="AA116" s="112" t="s">
        <v>185</v>
      </c>
      <c r="AB116" s="10">
        <f t="shared" ref="AB116" si="315">IF(OR(EXACT(AA116,$C$110),EXACT(AA116,$C$111),EXACT(AA116,$C$112),EXACT(AA116,$C$113),EXACT(AA116,$C$114),EXACT(AA116,$C$115),EXACT(AA116,$C$116),EXACT(AA116,$C$117)),4,0)</f>
        <v>0</v>
      </c>
      <c r="AC116" s="1" t="s">
        <v>183</v>
      </c>
      <c r="AD116" s="10">
        <f t="shared" ref="AD116" si="316">IF(OR(EXACT(AC116,$C$110),EXACT(AC116,$C$111),EXACT(AC116,$C$112),EXACT(AC116,$C$113),EXACT(AC116,$C$114),EXACT(AC116,$C$115),EXACT(AC116,$C$116),EXACT(AC116,$C$117)),4,0)</f>
        <v>0</v>
      </c>
      <c r="AE116" s="1" t="s">
        <v>172</v>
      </c>
      <c r="AF116" s="10">
        <f t="shared" ref="AF116" si="317">IF(OR(EXACT(AE116,$C$110),EXACT(AE116,$C$111),EXACT(AE116,$C$112),EXACT(AE116,$C$113),EXACT(AE116,$C$114),EXACT(AE116,$C$115),EXACT(AE116,$C$116),EXACT(AE116,$C$117)),4,0)</f>
        <v>0</v>
      </c>
      <c r="AG116" s="1" t="s">
        <v>172</v>
      </c>
      <c r="AH116" s="10">
        <f t="shared" ref="AH116" si="318">IF(OR(EXACT(AG116,$C$110),EXACT(AG116,$C$111),EXACT(AG116,$C$112),EXACT(AG116,$C$113),EXACT(AG116,$C$114),EXACT(AG116,$C$115),EXACT(AG116,$C$116),EXACT(AG116,$C$117)),4,0)</f>
        <v>0</v>
      </c>
      <c r="AI116" s="1" t="s">
        <v>183</v>
      </c>
      <c r="AJ116" s="10">
        <f t="shared" ref="AJ116" si="319">IF(OR(EXACT(AI116,$C$110),EXACT(AI116,$C$111),EXACT(AI116,$C$112),EXACT(AI116,$C$113),EXACT(AI116,$C$114),EXACT(AI116,$C$115),EXACT(AI116,$C$116),EXACT(AI116,$C$117)),4,0)</f>
        <v>0</v>
      </c>
      <c r="AK116" s="1" t="s">
        <v>168</v>
      </c>
      <c r="AL116" s="10">
        <f t="shared" ref="AL116" si="320">IF(OR(EXACT(AK116,$C$110),EXACT(AK116,$C$111),EXACT(AK116,$C$112),EXACT(AK116,$C$113),EXACT(AK116,$C$114),EXACT(AK116,$C$115),EXACT(AK116,$C$116),EXACT(AK116,$C$117)),4,0)</f>
        <v>0</v>
      </c>
      <c r="AM116" s="1" t="s">
        <v>184</v>
      </c>
      <c r="AN116" s="10">
        <f t="shared" ref="AN116" si="321">IF(OR(EXACT(AM116,$C$110),EXACT(AM116,$C$111),EXACT(AM116,$C$112),EXACT(AM116,$C$113),EXACT(AM116,$C$114),EXACT(AM116,$C$115),EXACT(AM116,$C$116),EXACT(AM116,$C$117)),4,0)</f>
        <v>0</v>
      </c>
      <c r="AO116" s="1" t="s">
        <v>183</v>
      </c>
      <c r="AP116" s="10">
        <f t="shared" ref="AP116" si="322">IF(OR(EXACT(AO116,$C$110),EXACT(AO116,$C$111),EXACT(AO116,$C$112),EXACT(AO116,$C$113),EXACT(AO116,$C$114),EXACT(AO116,$C$115),EXACT(AO116,$C$116),EXACT(AO116,$C$117)),4,0)</f>
        <v>0</v>
      </c>
      <c r="AQ116" s="1" t="s">
        <v>183</v>
      </c>
      <c r="AR116" s="10">
        <f t="shared" ref="AR116" si="323">IF(OR(EXACT(AQ116,$C$110),EXACT(AQ116,$C$111),EXACT(AQ116,$C$112),EXACT(AQ116,$C$113),EXACT(AQ116,$C$114),EXACT(AQ116,$C$115),EXACT(AQ116,$C$116),EXACT(AQ116,$C$117)),4,0)</f>
        <v>0</v>
      </c>
    </row>
    <row r="117" spans="1:64" ht="12.75" customHeight="1">
      <c r="C117" s="1"/>
      <c r="D117" s="73"/>
      <c r="E117" s="1" t="s">
        <v>184</v>
      </c>
      <c r="F117" s="10">
        <f t="shared" si="215"/>
        <v>0</v>
      </c>
      <c r="G117" s="1" t="s">
        <v>188</v>
      </c>
      <c r="H117" s="10">
        <f t="shared" si="215"/>
        <v>0</v>
      </c>
      <c r="I117" s="1" t="s">
        <v>169</v>
      </c>
      <c r="J117" s="10">
        <f t="shared" ref="J117" si="324">IF(OR(EXACT(I117,$C$110),EXACT(I117,$C$111),EXACT(I117,$C$112),EXACT(I117,$C$113),EXACT(I117,$C$114),EXACT(I117,$C$115),EXACT(I117,$C$116),EXACT(I117,$C$117)),4,0)</f>
        <v>0</v>
      </c>
      <c r="K117" s="1" t="s">
        <v>170</v>
      </c>
      <c r="L117" s="10">
        <f t="shared" ref="L117" si="325">IF(OR(EXACT(K117,$C$110),EXACT(K117,$C$111),EXACT(K117,$C$112),EXACT(K117,$C$113),EXACT(K117,$C$114),EXACT(K117,$C$115),EXACT(K117,$C$116),EXACT(K117,$C$117)),4,0)</f>
        <v>0</v>
      </c>
      <c r="M117" s="1" t="s">
        <v>185</v>
      </c>
      <c r="N117" s="10">
        <f t="shared" ref="N117" si="326">IF(OR(EXACT(M117,$C$110),EXACT(M117,$C$111),EXACT(M117,$C$112),EXACT(M117,$C$113),EXACT(M117,$C$114),EXACT(M117,$C$115),EXACT(M117,$C$116),EXACT(M117,$C$117)),4,0)</f>
        <v>0</v>
      </c>
      <c r="O117" s="112" t="s">
        <v>176</v>
      </c>
      <c r="P117" s="10">
        <f t="shared" ref="P117" si="327">IF(OR(EXACT(O117,$C$110),EXACT(O117,$C$111),EXACT(O117,$C$112),EXACT(O117,$C$113),EXACT(O117,$C$114),EXACT(O117,$C$115),EXACT(O117,$C$116),EXACT(O117,$C$117)),4,0)</f>
        <v>0</v>
      </c>
      <c r="Q117" s="1" t="s">
        <v>183</v>
      </c>
      <c r="R117" s="10">
        <f t="shared" ref="R117" si="328">IF(OR(EXACT(Q117,$C$110),EXACT(Q117,$C$111),EXACT(Q117,$C$112),EXACT(Q117,$C$113),EXACT(Q117,$C$114),EXACT(Q117,$C$115),EXACT(Q117,$C$116),EXACT(Q117,$C$117)),4,0)</f>
        <v>0</v>
      </c>
      <c r="S117" s="1" t="s">
        <v>176</v>
      </c>
      <c r="T117" s="10">
        <f t="shared" ref="T117" si="329">IF(OR(EXACT(S117,$C$110),EXACT(S117,$C$111),EXACT(S117,$C$112),EXACT(S117,$C$113),EXACT(S117,$C$114),EXACT(S117,$C$115),EXACT(S117,$C$116),EXACT(S117,$C$117)),4,0)</f>
        <v>0</v>
      </c>
      <c r="U117" s="1" t="s">
        <v>183</v>
      </c>
      <c r="V117" s="10">
        <f t="shared" ref="V117" si="330">IF(OR(EXACT(U117,$C$110),EXACT(U117,$C$111),EXACT(U117,$C$112),EXACT(U117,$C$113),EXACT(U117,$C$114),EXACT(U117,$C$115),EXACT(U117,$C$116),EXACT(U117,$C$117)),4,0)</f>
        <v>0</v>
      </c>
      <c r="W117" s="1" t="s">
        <v>170</v>
      </c>
      <c r="X117" s="10">
        <f t="shared" ref="X117" si="331">IF(OR(EXACT(W117,$C$110),EXACT(W117,$C$111),EXACT(W117,$C$112),EXACT(W117,$C$113),EXACT(W117,$C$114),EXACT(W117,$C$115),EXACT(W117,$C$116),EXACT(W117,$C$117)),4,0)</f>
        <v>0</v>
      </c>
      <c r="Y117" s="1" t="s">
        <v>170</v>
      </c>
      <c r="Z117" s="10">
        <f t="shared" ref="Z117" si="332">IF(OR(EXACT(Y117,$C$110),EXACT(Y117,$C$111),EXACT(Y117,$C$112),EXACT(Y117,$C$113),EXACT(Y117,$C$114),EXACT(Y117,$C$115),EXACT(Y117,$C$116),EXACT(Y117,$C$117)),4,0)</f>
        <v>0</v>
      </c>
      <c r="AA117" s="112" t="s">
        <v>194</v>
      </c>
      <c r="AB117" s="10">
        <f t="shared" ref="AB117" si="333">IF(OR(EXACT(AA117,$C$110),EXACT(AA117,$C$111),EXACT(AA117,$C$112),EXACT(AA117,$C$113),EXACT(AA117,$C$114),EXACT(AA117,$C$115),EXACT(AA117,$C$116),EXACT(AA117,$C$117)),4,0)</f>
        <v>0</v>
      </c>
      <c r="AC117" s="1" t="s">
        <v>176</v>
      </c>
      <c r="AD117" s="10">
        <f t="shared" ref="AD117" si="334">IF(OR(EXACT(AC117,$C$110),EXACT(AC117,$C$111),EXACT(AC117,$C$112),EXACT(AC117,$C$113),EXACT(AC117,$C$114),EXACT(AC117,$C$115),EXACT(AC117,$C$116),EXACT(AC117,$C$117)),4,0)</f>
        <v>0</v>
      </c>
      <c r="AE117" s="1" t="s">
        <v>184</v>
      </c>
      <c r="AF117" s="10">
        <f t="shared" ref="AF117" si="335">IF(OR(EXACT(AE117,$C$110),EXACT(AE117,$C$111),EXACT(AE117,$C$112),EXACT(AE117,$C$113),EXACT(AE117,$C$114),EXACT(AE117,$C$115),EXACT(AE117,$C$116),EXACT(AE117,$C$117)),4,0)</f>
        <v>0</v>
      </c>
      <c r="AG117" s="1" t="s">
        <v>163</v>
      </c>
      <c r="AH117" s="10">
        <f t="shared" ref="AH117" si="336">IF(OR(EXACT(AG117,$C$110),EXACT(AG117,$C$111),EXACT(AG117,$C$112),EXACT(AG117,$C$113),EXACT(AG117,$C$114),EXACT(AG117,$C$115),EXACT(AG117,$C$116),EXACT(AG117,$C$117)),4,0)</f>
        <v>0</v>
      </c>
      <c r="AI117" s="1" t="s">
        <v>170</v>
      </c>
      <c r="AJ117" s="10">
        <f t="shared" ref="AJ117" si="337">IF(OR(EXACT(AI117,$C$110),EXACT(AI117,$C$111),EXACT(AI117,$C$112),EXACT(AI117,$C$113),EXACT(AI117,$C$114),EXACT(AI117,$C$115),EXACT(AI117,$C$116),EXACT(AI117,$C$117)),4,0)</f>
        <v>0</v>
      </c>
      <c r="AK117" s="1" t="s">
        <v>172</v>
      </c>
      <c r="AL117" s="10">
        <f t="shared" ref="AL117" si="338">IF(OR(EXACT(AK117,$C$110),EXACT(AK117,$C$111),EXACT(AK117,$C$112),EXACT(AK117,$C$113),EXACT(AK117,$C$114),EXACT(AK117,$C$115),EXACT(AK117,$C$116),EXACT(AK117,$C$117)),4,0)</f>
        <v>0</v>
      </c>
      <c r="AM117" s="1" t="s">
        <v>183</v>
      </c>
      <c r="AN117" s="10">
        <f t="shared" ref="AN117" si="339">IF(OR(EXACT(AM117,$C$110),EXACT(AM117,$C$111),EXACT(AM117,$C$112),EXACT(AM117,$C$113),EXACT(AM117,$C$114),EXACT(AM117,$C$115),EXACT(AM117,$C$116),EXACT(AM117,$C$117)),4,0)</f>
        <v>0</v>
      </c>
      <c r="AO117" s="1" t="s">
        <v>184</v>
      </c>
      <c r="AP117" s="10">
        <f t="shared" ref="AP117" si="340">IF(OR(EXACT(AO117,$C$110),EXACT(AO117,$C$111),EXACT(AO117,$C$112),EXACT(AO117,$C$113),EXACT(AO117,$C$114),EXACT(AO117,$C$115),EXACT(AO117,$C$116),EXACT(AO117,$C$117)),4,0)</f>
        <v>0</v>
      </c>
      <c r="AQ117" s="1" t="s">
        <v>170</v>
      </c>
      <c r="AR117" s="10">
        <f t="shared" ref="AR117" si="341">IF(OR(EXACT(AQ117,$C$110),EXACT(AQ117,$C$111),EXACT(AQ117,$C$112),EXACT(AQ117,$C$113),EXACT(AQ117,$C$114),EXACT(AQ117,$C$115),EXACT(AQ117,$C$116),EXACT(AQ117,$C$117)),4,0)</f>
        <v>0</v>
      </c>
    </row>
    <row r="118" spans="1:64" ht="27.75" customHeight="1">
      <c r="A118" s="148"/>
      <c r="B118" s="146"/>
      <c r="C118" s="88" t="s">
        <v>197</v>
      </c>
      <c r="D118" s="89"/>
      <c r="E118" s="147" t="s">
        <v>198</v>
      </c>
      <c r="F118" s="144"/>
      <c r="G118" s="147" t="s">
        <v>198</v>
      </c>
      <c r="H118" s="144"/>
      <c r="I118" s="147" t="s">
        <v>198</v>
      </c>
      <c r="J118" s="144"/>
      <c r="K118" s="147" t="s">
        <v>198</v>
      </c>
      <c r="L118" s="144"/>
      <c r="M118" s="147" t="s">
        <v>198</v>
      </c>
      <c r="N118" s="144"/>
      <c r="O118" s="147" t="s">
        <v>198</v>
      </c>
      <c r="P118" s="144"/>
      <c r="Q118" s="147" t="s">
        <v>198</v>
      </c>
      <c r="R118" s="144"/>
      <c r="S118" s="147" t="s">
        <v>198</v>
      </c>
      <c r="T118" s="144"/>
      <c r="U118" s="147" t="s">
        <v>198</v>
      </c>
      <c r="V118" s="144"/>
      <c r="W118" s="147" t="s">
        <v>198</v>
      </c>
      <c r="X118" s="144"/>
      <c r="Y118" s="147" t="s">
        <v>198</v>
      </c>
      <c r="Z118" s="144"/>
      <c r="AA118" s="147" t="s">
        <v>198</v>
      </c>
      <c r="AB118" s="144"/>
      <c r="AC118" s="147" t="s">
        <v>198</v>
      </c>
      <c r="AD118" s="144"/>
      <c r="AE118" s="147" t="s">
        <v>198</v>
      </c>
      <c r="AF118" s="144"/>
      <c r="AG118" s="147" t="s">
        <v>198</v>
      </c>
      <c r="AH118" s="144"/>
      <c r="AI118" s="147" t="s">
        <v>198</v>
      </c>
      <c r="AJ118" s="144"/>
      <c r="AK118" s="147" t="s">
        <v>198</v>
      </c>
      <c r="AL118" s="144"/>
      <c r="AM118" s="147" t="s">
        <v>198</v>
      </c>
      <c r="AN118" s="144"/>
      <c r="AO118" s="147" t="s">
        <v>198</v>
      </c>
      <c r="AP118" s="144"/>
      <c r="AQ118" s="147" t="s">
        <v>198</v>
      </c>
      <c r="AR118" s="144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</row>
    <row r="119" spans="1:64" ht="12.75" customHeight="1">
      <c r="A119" s="23"/>
      <c r="B119" s="16"/>
      <c r="C119" s="1"/>
      <c r="D119" s="73"/>
      <c r="E119" s="1" t="s">
        <v>162</v>
      </c>
      <c r="F119" s="10">
        <f>IF(OR(EXACT(E119,$C$119),EXACT(E119,$C$120),EXACT(E119,$C$121),EXACT(E119,$C$122)),8,0)</f>
        <v>0</v>
      </c>
      <c r="G119" s="1" t="s">
        <v>162</v>
      </c>
      <c r="H119" s="10">
        <f>IF(OR(EXACT(G119,$C$119),EXACT(G119,$C$120),EXACT(G119,$C$121),EXACT(G119,$C$122)),8,0)</f>
        <v>0</v>
      </c>
      <c r="I119" s="1" t="s">
        <v>162</v>
      </c>
      <c r="J119" s="10">
        <f>IF(OR(EXACT(I119,$C$119),EXACT(I119,$C$120),EXACT(I119,$C$121),EXACT(I119,$C$122)),8,0)</f>
        <v>0</v>
      </c>
      <c r="K119" s="1" t="s">
        <v>162</v>
      </c>
      <c r="L119" s="10">
        <f>IF(OR(EXACT(K119,$C$119),EXACT(K119,$C$120),EXACT(K119,$C$121),EXACT(K119,$C$122)),8,0)</f>
        <v>0</v>
      </c>
      <c r="M119" s="1" t="s">
        <v>167</v>
      </c>
      <c r="N119" s="10">
        <f>IF(OR(EXACT(M119,$C$119),EXACT(M119,$C$120),EXACT(M119,$C$121),EXACT(M119,$C$122)),8,0)</f>
        <v>0</v>
      </c>
      <c r="O119" s="112" t="s">
        <v>170</v>
      </c>
      <c r="P119" s="10">
        <f>IF(OR(EXACT(O119,$C$119),EXACT(O119,$C$120),EXACT(O119,$C$121),EXACT(O119,$C$122)),8,0)</f>
        <v>0</v>
      </c>
      <c r="Q119" s="1" t="s">
        <v>168</v>
      </c>
      <c r="R119" s="10">
        <f>IF(OR(EXACT(Q119,$C$119),EXACT(Q119,$C$120),EXACT(Q119,$C$121),EXACT(Q119,$C$122)),8,0)</f>
        <v>0</v>
      </c>
      <c r="S119" s="1" t="s">
        <v>167</v>
      </c>
      <c r="T119" s="10">
        <f>IF(OR(EXACT(S119,$C$119),EXACT(S119,$C$120),EXACT(S119,$C$121),EXACT(S119,$C$122)),8,0)</f>
        <v>0</v>
      </c>
      <c r="U119" s="1" t="s">
        <v>170</v>
      </c>
      <c r="V119" s="10">
        <f>IF(OR(EXACT(U119,$C$119),EXACT(U119,$C$120),EXACT(U119,$C$121),EXACT(U119,$C$122)),8,0)</f>
        <v>0</v>
      </c>
      <c r="W119" s="1" t="s">
        <v>162</v>
      </c>
      <c r="X119" s="10">
        <f>IF(OR(EXACT(W119,$C$119),EXACT(W119,$C$120),EXACT(W119,$C$121),EXACT(W119,$C$122)),8,0)</f>
        <v>0</v>
      </c>
      <c r="Y119" s="1" t="s">
        <v>162</v>
      </c>
      <c r="Z119" s="10">
        <f>IF(OR(EXACT(Y119,$C$119),EXACT(Y119,$C$120),EXACT(Y119,$C$121),EXACT(Y119,$C$122)),8,0)</f>
        <v>0</v>
      </c>
      <c r="AA119" s="112" t="s">
        <v>175</v>
      </c>
      <c r="AB119" s="10">
        <f>IF(OR(EXACT(AA119,$C$119),EXACT(AA119,$C$120),EXACT(AA119,$C$121),EXACT(AA119,$C$122)),8,0)</f>
        <v>0</v>
      </c>
      <c r="AC119" s="1" t="s">
        <v>162</v>
      </c>
      <c r="AD119" s="10">
        <f>IF(OR(EXACT(AC119,$C$119),EXACT(AC119,$C$120),EXACT(AC119,$C$121),EXACT(AC119,$C$122)),8,0)</f>
        <v>0</v>
      </c>
      <c r="AE119" s="1" t="s">
        <v>168</v>
      </c>
      <c r="AF119" s="10">
        <f>IF(OR(EXACT(AE119,$C$119),EXACT(AE119,$C$120),EXACT(AE119,$C$121),EXACT(AE119,$C$122)),8,0)</f>
        <v>0</v>
      </c>
      <c r="AG119" s="1" t="s">
        <v>162</v>
      </c>
      <c r="AH119" s="10">
        <f>IF(OR(EXACT(AG119,$C$119),EXACT(AG119,$C$120),EXACT(AG119,$C$121),EXACT(AG119,$C$122)),8,0)</f>
        <v>0</v>
      </c>
      <c r="AI119" s="1" t="s">
        <v>162</v>
      </c>
      <c r="AJ119" s="10">
        <f>IF(OR(EXACT(AI119,$C$119),EXACT(AI119,$C$120),EXACT(AI119,$C$121),EXACT(AI119,$C$122)),8,0)</f>
        <v>0</v>
      </c>
      <c r="AK119" s="30" t="s">
        <v>167</v>
      </c>
      <c r="AL119" s="10">
        <f>IF(OR(EXACT(AK119,$C$119),EXACT(AK119,$C$120),EXACT(AK119,$C$121),EXACT(AK119,$C$122)),8,0)</f>
        <v>0</v>
      </c>
      <c r="AM119" s="1" t="s">
        <v>176</v>
      </c>
      <c r="AN119" s="10">
        <f>IF(OR(EXACT(AM119,$C$119),EXACT(AM119,$C$120),EXACT(AM119,$C$121),EXACT(AM119,$C$122)),8,0)</f>
        <v>0</v>
      </c>
      <c r="AO119" s="1" t="s">
        <v>168</v>
      </c>
      <c r="AP119" s="10">
        <f>IF(OR(EXACT(AO119,$C$119),EXACT(AO119,$C$120),EXACT(AO119,$C$121),EXACT(AO119,$C$122)),8,0)</f>
        <v>0</v>
      </c>
      <c r="AQ119" s="1" t="s">
        <v>167</v>
      </c>
      <c r="AR119" s="10">
        <f>IF(OR(EXACT(AQ119,$C$119),EXACT(AQ119,$C$120),EXACT(AQ119,$C$121),EXACT(AQ119,$C$122)),8,0)</f>
        <v>0</v>
      </c>
    </row>
    <row r="120" spans="1:64" ht="12.75" customHeight="1">
      <c r="A120" s="31"/>
      <c r="B120" s="16"/>
      <c r="C120" s="1"/>
      <c r="D120" s="73"/>
      <c r="E120" s="1" t="s">
        <v>170</v>
      </c>
      <c r="F120" s="10">
        <f t="shared" ref="F120:H122" si="342">IF(OR(EXACT(E120,$C$119),EXACT(E120,$C$120),EXACT(E120,$C$121),EXACT(E120,$C$122)),8,0)</f>
        <v>0</v>
      </c>
      <c r="G120" s="1" t="s">
        <v>168</v>
      </c>
      <c r="H120" s="10">
        <f t="shared" si="342"/>
        <v>0</v>
      </c>
      <c r="I120" s="1" t="s">
        <v>170</v>
      </c>
      <c r="J120" s="10">
        <f t="shared" ref="J120" si="343">IF(OR(EXACT(I120,$C$119),EXACT(I120,$C$120),EXACT(I120,$C$121),EXACT(I120,$C$122)),8,0)</f>
        <v>0</v>
      </c>
      <c r="K120" s="1" t="s">
        <v>184</v>
      </c>
      <c r="L120" s="10">
        <f t="shared" ref="L120" si="344">IF(OR(EXACT(K120,$C$119),EXACT(K120,$C$120),EXACT(K120,$C$121),EXACT(K120,$C$122)),8,0)</f>
        <v>0</v>
      </c>
      <c r="M120" s="1" t="s">
        <v>168</v>
      </c>
      <c r="N120" s="10">
        <f t="shared" ref="N120" si="345">IF(OR(EXACT(M120,$C$119),EXACT(M120,$C$120),EXACT(M120,$C$121),EXACT(M120,$C$122)),8,0)</f>
        <v>0</v>
      </c>
      <c r="O120" s="112" t="s">
        <v>186</v>
      </c>
      <c r="P120" s="10">
        <f t="shared" ref="P120" si="346">IF(OR(EXACT(O120,$C$119),EXACT(O120,$C$120),EXACT(O120,$C$121),EXACT(O120,$C$122)),8,0)</f>
        <v>0</v>
      </c>
      <c r="Q120" s="1" t="s">
        <v>170</v>
      </c>
      <c r="R120" s="10">
        <f t="shared" ref="R120" si="347">IF(OR(EXACT(Q120,$C$119),EXACT(Q120,$C$120),EXACT(Q120,$C$121),EXACT(Q120,$C$122)),8,0)</f>
        <v>0</v>
      </c>
      <c r="S120" s="1" t="s">
        <v>168</v>
      </c>
      <c r="T120" s="10">
        <f t="shared" ref="T120" si="348">IF(OR(EXACT(S120,$C$119),EXACT(S120,$C$120),EXACT(S120,$C$121),EXACT(S120,$C$122)),8,0)</f>
        <v>0</v>
      </c>
      <c r="U120" s="1" t="s">
        <v>168</v>
      </c>
      <c r="V120" s="10">
        <f t="shared" ref="V120" si="349">IF(OR(EXACT(U120,$C$119),EXACT(U120,$C$120),EXACT(U120,$C$121),EXACT(U120,$C$122)),8,0)</f>
        <v>0</v>
      </c>
      <c r="W120" s="1" t="s">
        <v>176</v>
      </c>
      <c r="X120" s="10">
        <f t="shared" ref="X120" si="350">IF(OR(EXACT(W120,$C$119),EXACT(W120,$C$120),EXACT(W120,$C$121),EXACT(W120,$C$122)),8,0)</f>
        <v>0</v>
      </c>
      <c r="Y120" s="1" t="s">
        <v>184</v>
      </c>
      <c r="Z120" s="10">
        <f t="shared" ref="Z120" si="351">IF(OR(EXACT(Y120,$C$119),EXACT(Y120,$C$120),EXACT(Y120,$C$121),EXACT(Y120,$C$122)),8,0)</f>
        <v>0</v>
      </c>
      <c r="AA120" s="112" t="s">
        <v>186</v>
      </c>
      <c r="AB120" s="10">
        <f t="shared" ref="AB120" si="352">IF(OR(EXACT(AA120,$C$119),EXACT(AA120,$C$120),EXACT(AA120,$C$121),EXACT(AA120,$C$122)),8,0)</f>
        <v>0</v>
      </c>
      <c r="AC120" s="1" t="s">
        <v>172</v>
      </c>
      <c r="AD120" s="10">
        <f t="shared" ref="AD120" si="353">IF(OR(EXACT(AC120,$C$119),EXACT(AC120,$C$120),EXACT(AC120,$C$121),EXACT(AC120,$C$122)),8,0)</f>
        <v>0</v>
      </c>
      <c r="AE120" s="1" t="s">
        <v>170</v>
      </c>
      <c r="AF120" s="10">
        <f t="shared" ref="AF120" si="354">IF(OR(EXACT(AE120,$C$119),EXACT(AE120,$C$120),EXACT(AE120,$C$121),EXACT(AE120,$C$122)),8,0)</f>
        <v>0</v>
      </c>
      <c r="AG120" s="1" t="s">
        <v>176</v>
      </c>
      <c r="AH120" s="10">
        <f t="shared" ref="AH120" si="355">IF(OR(EXACT(AG120,$C$119),EXACT(AG120,$C$120),EXACT(AG120,$C$121),EXACT(AG120,$C$122)),8,0)</f>
        <v>0</v>
      </c>
      <c r="AI120" s="1" t="s">
        <v>182</v>
      </c>
      <c r="AJ120" s="10">
        <f t="shared" ref="AJ120" si="356">IF(OR(EXACT(AI120,$C$119),EXACT(AI120,$C$120),EXACT(AI120,$C$121),EXACT(AI120,$C$122)),8,0)</f>
        <v>0</v>
      </c>
      <c r="AK120" s="30" t="s">
        <v>176</v>
      </c>
      <c r="AL120" s="10">
        <f t="shared" ref="AL120" si="357">IF(OR(EXACT(AK120,$C$119),EXACT(AK120,$C$120),EXACT(AK120,$C$121),EXACT(AK120,$C$122)),8,0)</f>
        <v>0</v>
      </c>
      <c r="AM120" s="1" t="s">
        <v>168</v>
      </c>
      <c r="AN120" s="10">
        <f t="shared" ref="AN120" si="358">IF(OR(EXACT(AM120,$C$119),EXACT(AM120,$C$120),EXACT(AM120,$C$121),EXACT(AM120,$C$122)),8,0)</f>
        <v>0</v>
      </c>
      <c r="AO120" s="1" t="s">
        <v>170</v>
      </c>
      <c r="AP120" s="10">
        <f t="shared" ref="AP120" si="359">IF(OR(EXACT(AO120,$C$119),EXACT(AO120,$C$120),EXACT(AO120,$C$121),EXACT(AO120,$C$122)),8,0)</f>
        <v>0</v>
      </c>
      <c r="AQ120" s="1" t="s">
        <v>184</v>
      </c>
      <c r="AR120" s="10">
        <f t="shared" ref="AR120" si="360">IF(OR(EXACT(AQ120,$C$119),EXACT(AQ120,$C$120),EXACT(AQ120,$C$121),EXACT(AQ120,$C$122)),8,0)</f>
        <v>0</v>
      </c>
    </row>
    <row r="121" spans="1:64" ht="12.75" customHeight="1">
      <c r="C121" s="1"/>
      <c r="D121" s="73"/>
      <c r="E121" s="1" t="s">
        <v>184</v>
      </c>
      <c r="F121" s="10">
        <f t="shared" si="342"/>
        <v>0</v>
      </c>
      <c r="G121" s="1" t="s">
        <v>170</v>
      </c>
      <c r="H121" s="10">
        <f t="shared" si="342"/>
        <v>0</v>
      </c>
      <c r="I121" s="1" t="s">
        <v>168</v>
      </c>
      <c r="J121" s="10">
        <f t="shared" ref="J121" si="361">IF(OR(EXACT(I121,$C$119),EXACT(I121,$C$120),EXACT(I121,$C$121),EXACT(I121,$C$122)),8,0)</f>
        <v>0</v>
      </c>
      <c r="K121" s="1" t="s">
        <v>169</v>
      </c>
      <c r="L121" s="10">
        <f t="shared" ref="L121" si="362">IF(OR(EXACT(K121,$C$119),EXACT(K121,$C$120),EXACT(K121,$C$121),EXACT(K121,$C$122)),8,0)</f>
        <v>0</v>
      </c>
      <c r="M121" s="1" t="s">
        <v>157</v>
      </c>
      <c r="N121" s="10">
        <f t="shared" ref="N121" si="363">IF(OR(EXACT(M121,$C$119),EXACT(M121,$C$120),EXACT(M121,$C$121),EXACT(M121,$C$122)),8,0)</f>
        <v>0</v>
      </c>
      <c r="O121" s="112" t="s">
        <v>168</v>
      </c>
      <c r="P121" s="10">
        <f t="shared" ref="P121" si="364">IF(OR(EXACT(O121,$C$119),EXACT(O121,$C$120),EXACT(O121,$C$121),EXACT(O121,$C$122)),8,0)</f>
        <v>0</v>
      </c>
      <c r="Q121" s="1" t="s">
        <v>183</v>
      </c>
      <c r="R121" s="10">
        <f t="shared" ref="R121" si="365">IF(OR(EXACT(Q121,$C$119),EXACT(Q121,$C$120),EXACT(Q121,$C$121),EXACT(Q121,$C$122)),8,0)</f>
        <v>0</v>
      </c>
      <c r="S121" s="1" t="s">
        <v>170</v>
      </c>
      <c r="T121" s="10">
        <f t="shared" ref="T121" si="366">IF(OR(EXACT(S121,$C$119),EXACT(S121,$C$120),EXACT(S121,$C$121),EXACT(S121,$C$122)),8,0)</f>
        <v>0</v>
      </c>
      <c r="U121" s="1" t="s">
        <v>167</v>
      </c>
      <c r="V121" s="10">
        <f t="shared" ref="V121" si="367">IF(OR(EXACT(U121,$C$119),EXACT(U121,$C$120),EXACT(U121,$C$121),EXACT(U121,$C$122)),8,0)</f>
        <v>0</v>
      </c>
      <c r="W121" s="1" t="s">
        <v>168</v>
      </c>
      <c r="X121" s="10">
        <f t="shared" ref="X121" si="368">IF(OR(EXACT(W121,$C$119),EXACT(W121,$C$120),EXACT(W121,$C$121),EXACT(W121,$C$122)),8,0)</f>
        <v>0</v>
      </c>
      <c r="Y121" s="1" t="s">
        <v>170</v>
      </c>
      <c r="Z121" s="10">
        <f t="shared" ref="Z121" si="369">IF(OR(EXACT(Y121,$C$119),EXACT(Y121,$C$120),EXACT(Y121,$C$121),EXACT(Y121,$C$122)),8,0)</f>
        <v>0</v>
      </c>
      <c r="AA121" s="112" t="s">
        <v>168</v>
      </c>
      <c r="AB121" s="10">
        <f t="shared" ref="AB121" si="370">IF(OR(EXACT(AA121,$C$119),EXACT(AA121,$C$120),EXACT(AA121,$C$121),EXACT(AA121,$C$122)),8,0)</f>
        <v>0</v>
      </c>
      <c r="AC121" s="1" t="s">
        <v>170</v>
      </c>
      <c r="AD121" s="10">
        <f t="shared" ref="AD121" si="371">IF(OR(EXACT(AC121,$C$119),EXACT(AC121,$C$120),EXACT(AC121,$C$121),EXACT(AC121,$C$122)),8,0)</f>
        <v>0</v>
      </c>
      <c r="AE121" s="1" t="s">
        <v>162</v>
      </c>
      <c r="AF121" s="10">
        <f t="shared" ref="AF121" si="372">IF(OR(EXACT(AE121,$C$119),EXACT(AE121,$C$120),EXACT(AE121,$C$121),EXACT(AE121,$C$122)),8,0)</f>
        <v>0</v>
      </c>
      <c r="AG121" s="1" t="s">
        <v>170</v>
      </c>
      <c r="AH121" s="10">
        <f t="shared" ref="AH121" si="373">IF(OR(EXACT(AG121,$C$119),EXACT(AG121,$C$120),EXACT(AG121,$C$121),EXACT(AG121,$C$122)),8,0)</f>
        <v>0</v>
      </c>
      <c r="AI121" s="1" t="s">
        <v>168</v>
      </c>
      <c r="AJ121" s="10">
        <f t="shared" ref="AJ121" si="374">IF(OR(EXACT(AI121,$C$119),EXACT(AI121,$C$120),EXACT(AI121,$C$121),EXACT(AI121,$C$122)),8,0)</f>
        <v>0</v>
      </c>
      <c r="AK121" s="30" t="s">
        <v>168</v>
      </c>
      <c r="AL121" s="10">
        <f t="shared" ref="AL121" si="375">IF(OR(EXACT(AK121,$C$119),EXACT(AK121,$C$120),EXACT(AK121,$C$121),EXACT(AK121,$C$122)),8,0)</f>
        <v>0</v>
      </c>
      <c r="AM121" s="1" t="s">
        <v>170</v>
      </c>
      <c r="AN121" s="10">
        <f t="shared" ref="AN121" si="376">IF(OR(EXACT(AM121,$C$119),EXACT(AM121,$C$120),EXACT(AM121,$C$121),EXACT(AM121,$C$122)),8,0)</f>
        <v>0</v>
      </c>
      <c r="AO121" s="1" t="s">
        <v>162</v>
      </c>
      <c r="AP121" s="10">
        <f t="shared" ref="AP121" si="377">IF(OR(EXACT(AO121,$C$119),EXACT(AO121,$C$120),EXACT(AO121,$C$121),EXACT(AO121,$C$122)),8,0)</f>
        <v>0</v>
      </c>
      <c r="AQ121" s="1" t="s">
        <v>170</v>
      </c>
      <c r="AR121" s="10">
        <f t="shared" ref="AR121" si="378">IF(OR(EXACT(AQ121,$C$119),EXACT(AQ121,$C$120),EXACT(AQ121,$C$121),EXACT(AQ121,$C$122)),8,0)</f>
        <v>0</v>
      </c>
    </row>
    <row r="122" spans="1:64" ht="12.75" customHeight="1">
      <c r="C122" s="1"/>
      <c r="D122" s="73"/>
      <c r="E122" s="1" t="s">
        <v>168</v>
      </c>
      <c r="F122" s="10">
        <f t="shared" si="342"/>
        <v>0</v>
      </c>
      <c r="G122" s="1" t="s">
        <v>188</v>
      </c>
      <c r="H122" s="10">
        <f t="shared" si="342"/>
        <v>0</v>
      </c>
      <c r="I122" s="1" t="s">
        <v>169</v>
      </c>
      <c r="J122" s="10">
        <f t="shared" ref="J122" si="379">IF(OR(EXACT(I122,$C$119),EXACT(I122,$C$120),EXACT(I122,$C$121),EXACT(I122,$C$122)),8,0)</f>
        <v>0</v>
      </c>
      <c r="K122" s="1" t="s">
        <v>170</v>
      </c>
      <c r="L122" s="10">
        <f t="shared" ref="L122" si="380">IF(OR(EXACT(K122,$C$119),EXACT(K122,$C$120),EXACT(K122,$C$121),EXACT(K122,$C$122)),8,0)</f>
        <v>0</v>
      </c>
      <c r="M122" s="1" t="s">
        <v>185</v>
      </c>
      <c r="N122" s="10">
        <f t="shared" ref="N122" si="381">IF(OR(EXACT(M122,$C$119),EXACT(M122,$C$120),EXACT(M122,$C$121),EXACT(M122,$C$122)),8,0)</f>
        <v>0</v>
      </c>
      <c r="O122" s="112" t="s">
        <v>191</v>
      </c>
      <c r="P122" s="10">
        <f t="shared" ref="P122" si="382">IF(OR(EXACT(O122,$C$119),EXACT(O122,$C$120),EXACT(O122,$C$121),EXACT(O122,$C$122)),8,0)</f>
        <v>0</v>
      </c>
      <c r="Q122" s="1" t="s">
        <v>184</v>
      </c>
      <c r="R122" s="10">
        <f t="shared" ref="R122" si="383">IF(OR(EXACT(Q122,$C$119),EXACT(Q122,$C$120),EXACT(Q122,$C$121),EXACT(Q122,$C$122)),8,0)</f>
        <v>0</v>
      </c>
      <c r="S122" s="1" t="s">
        <v>184</v>
      </c>
      <c r="T122" s="10">
        <f t="shared" ref="T122" si="384">IF(OR(EXACT(S122,$C$119),EXACT(S122,$C$120),EXACT(S122,$C$121),EXACT(S122,$C$122)),8,0)</f>
        <v>0</v>
      </c>
      <c r="U122" s="1" t="s">
        <v>176</v>
      </c>
      <c r="V122" s="10">
        <f t="shared" ref="V122" si="385">IF(OR(EXACT(U122,$C$119),EXACT(U122,$C$120),EXACT(U122,$C$121),EXACT(U122,$C$122)),8,0)</f>
        <v>0</v>
      </c>
      <c r="W122" s="1" t="s">
        <v>170</v>
      </c>
      <c r="X122" s="10">
        <f t="shared" ref="X122" si="386">IF(OR(EXACT(W122,$C$119),EXACT(W122,$C$120),EXACT(W122,$C$121),EXACT(W122,$C$122)),8,0)</f>
        <v>0</v>
      </c>
      <c r="Y122" s="1" t="s">
        <v>168</v>
      </c>
      <c r="Z122" s="10">
        <f t="shared" ref="Z122" si="387">IF(OR(EXACT(Y122,$C$119),EXACT(Y122,$C$120),EXACT(Y122,$C$121),EXACT(Y122,$C$122)),8,0)</f>
        <v>0</v>
      </c>
      <c r="AA122" s="112" t="s">
        <v>194</v>
      </c>
      <c r="AB122" s="10">
        <f t="shared" ref="AB122" si="388">IF(OR(EXACT(AA122,$C$119),EXACT(AA122,$C$120),EXACT(AA122,$C$121),EXACT(AA122,$C$122)),8,0)</f>
        <v>0</v>
      </c>
      <c r="AC122" s="1" t="s">
        <v>167</v>
      </c>
      <c r="AD122" s="10">
        <f t="shared" ref="AD122" si="389">IF(OR(EXACT(AC122,$C$119),EXACT(AC122,$C$120),EXACT(AC122,$C$121),EXACT(AC122,$C$122)),8,0)</f>
        <v>0</v>
      </c>
      <c r="AE122" s="1" t="s">
        <v>176</v>
      </c>
      <c r="AF122" s="10">
        <f t="shared" ref="AF122" si="390">IF(OR(EXACT(AE122,$C$119),EXACT(AE122,$C$120),EXACT(AE122,$C$121),EXACT(AE122,$C$122)),8,0)</f>
        <v>0</v>
      </c>
      <c r="AG122" s="1" t="s">
        <v>168</v>
      </c>
      <c r="AH122" s="10">
        <f t="shared" ref="AH122" si="391">IF(OR(EXACT(AG122,$C$119),EXACT(AG122,$C$120),EXACT(AG122,$C$121),EXACT(AG122,$C$122)),8,0)</f>
        <v>0</v>
      </c>
      <c r="AI122" s="1" t="s">
        <v>170</v>
      </c>
      <c r="AJ122" s="10">
        <f t="shared" ref="AJ122" si="392">IF(OR(EXACT(AI122,$C$119),EXACT(AI122,$C$120),EXACT(AI122,$C$121),EXACT(AI122,$C$122)),8,0)</f>
        <v>0</v>
      </c>
      <c r="AK122" s="32" t="s">
        <v>170</v>
      </c>
      <c r="AL122" s="10">
        <f t="shared" ref="AL122" si="393">IF(OR(EXACT(AK122,$C$119),EXACT(AK122,$C$120),EXACT(AK122,$C$121),EXACT(AK122,$C$122)),8,0)</f>
        <v>0</v>
      </c>
      <c r="AM122" s="1" t="s">
        <v>162</v>
      </c>
      <c r="AN122" s="10">
        <f t="shared" ref="AN122" si="394">IF(OR(EXACT(AM122,$C$119),EXACT(AM122,$C$120),EXACT(AM122,$C$121),EXACT(AM122,$C$122)),8,0)</f>
        <v>0</v>
      </c>
      <c r="AO122" s="1" t="s">
        <v>176</v>
      </c>
      <c r="AP122" s="10">
        <f t="shared" ref="AP122" si="395">IF(OR(EXACT(AO122,$C$119),EXACT(AO122,$C$120),EXACT(AO122,$C$121),EXACT(AO122,$C$122)),8,0)</f>
        <v>0</v>
      </c>
      <c r="AQ122" s="1" t="s">
        <v>168</v>
      </c>
      <c r="AR122" s="10">
        <f t="shared" ref="AR122" si="396">IF(OR(EXACT(AQ122,$C$119),EXACT(AQ122,$C$120),EXACT(AQ122,$C$121),EXACT(AQ122,$C$122)),8,0)</f>
        <v>0</v>
      </c>
    </row>
    <row r="123" spans="1:64" ht="27" customHeight="1">
      <c r="A123" s="91"/>
      <c r="B123" s="91"/>
      <c r="C123" s="88" t="s">
        <v>199</v>
      </c>
      <c r="D123" s="89"/>
      <c r="E123" s="150" t="s">
        <v>200</v>
      </c>
      <c r="F123" s="144"/>
      <c r="G123" s="150" t="s">
        <v>200</v>
      </c>
      <c r="H123" s="144"/>
      <c r="I123" s="150" t="s">
        <v>200</v>
      </c>
      <c r="J123" s="144"/>
      <c r="K123" s="150" t="s">
        <v>200</v>
      </c>
      <c r="L123" s="144"/>
      <c r="M123" s="150" t="s">
        <v>200</v>
      </c>
      <c r="N123" s="144"/>
      <c r="O123" s="150" t="s">
        <v>200</v>
      </c>
      <c r="P123" s="144"/>
      <c r="Q123" s="150" t="s">
        <v>200</v>
      </c>
      <c r="R123" s="144"/>
      <c r="S123" s="150" t="s">
        <v>200</v>
      </c>
      <c r="T123" s="144"/>
      <c r="U123" s="150" t="s">
        <v>200</v>
      </c>
      <c r="V123" s="144"/>
      <c r="W123" s="150" t="s">
        <v>200</v>
      </c>
      <c r="X123" s="144"/>
      <c r="Y123" s="150" t="s">
        <v>200</v>
      </c>
      <c r="Z123" s="144"/>
      <c r="AA123" s="150" t="s">
        <v>200</v>
      </c>
      <c r="AB123" s="144"/>
      <c r="AC123" s="150" t="s">
        <v>200</v>
      </c>
      <c r="AD123" s="144"/>
      <c r="AE123" s="150" t="s">
        <v>200</v>
      </c>
      <c r="AF123" s="144"/>
      <c r="AG123" s="150" t="s">
        <v>200</v>
      </c>
      <c r="AH123" s="144"/>
      <c r="AI123" s="150" t="s">
        <v>200</v>
      </c>
      <c r="AJ123" s="144"/>
      <c r="AK123" s="150" t="s">
        <v>200</v>
      </c>
      <c r="AL123" s="144"/>
      <c r="AM123" s="150" t="s">
        <v>200</v>
      </c>
      <c r="AN123" s="144"/>
      <c r="AO123" s="150" t="s">
        <v>200</v>
      </c>
      <c r="AP123" s="144"/>
      <c r="AQ123" s="150" t="s">
        <v>200</v>
      </c>
      <c r="AR123" s="144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</row>
    <row r="124" spans="1:64" ht="27.75" customHeight="1">
      <c r="A124" s="33"/>
      <c r="B124" s="33"/>
      <c r="C124" s="1"/>
      <c r="D124" s="73"/>
      <c r="E124" s="1" t="s">
        <v>162</v>
      </c>
      <c r="F124" s="10">
        <f>IF(OR(EXACT(E124,$C$124),EXACT(E124,$C$125)),15,0)</f>
        <v>0</v>
      </c>
      <c r="G124" s="1" t="s">
        <v>162</v>
      </c>
      <c r="H124" s="10">
        <f>IF(OR(EXACT(G124,$C$124),EXACT(G124,$C$125)),15,0)</f>
        <v>0</v>
      </c>
      <c r="I124" s="1" t="s">
        <v>162</v>
      </c>
      <c r="J124" s="10">
        <f>IF(OR(EXACT(I124,$C$124),EXACT(I124,$C$125)),15,0)</f>
        <v>0</v>
      </c>
      <c r="K124" s="1" t="s">
        <v>162</v>
      </c>
      <c r="L124" s="10">
        <f>IF(OR(EXACT(K124,$C$124),EXACT(K124,$C$125)),15,0)</f>
        <v>0</v>
      </c>
      <c r="M124" s="1" t="s">
        <v>167</v>
      </c>
      <c r="N124" s="10">
        <f>IF(OR(EXACT(M124,$C$124),EXACT(M124,$C$125)),15,0)</f>
        <v>0</v>
      </c>
      <c r="O124" s="112" t="s">
        <v>170</v>
      </c>
      <c r="P124" s="10">
        <f>IF(OR(EXACT(O124,$C$124),EXACT(O124,$C$125)),15,0)</f>
        <v>0</v>
      </c>
      <c r="Q124" s="1" t="s">
        <v>170</v>
      </c>
      <c r="R124" s="10">
        <f>IF(OR(EXACT(Q124,$C$124),EXACT(Q124,$C$125)),15,0)</f>
        <v>0</v>
      </c>
      <c r="S124" s="1" t="s">
        <v>167</v>
      </c>
      <c r="T124" s="10">
        <f>IF(OR(EXACT(S124,$C$124),EXACT(S124,$C$125)),15,0)</f>
        <v>0</v>
      </c>
      <c r="U124" s="1" t="s">
        <v>170</v>
      </c>
      <c r="V124" s="10">
        <f>IF(OR(EXACT(U124,$C$124),EXACT(U124,$C$125)),15,0)</f>
        <v>0</v>
      </c>
      <c r="W124" s="1" t="s">
        <v>168</v>
      </c>
      <c r="X124" s="10">
        <f>IF(OR(EXACT(W124,$C$124),EXACT(W124,$C$125)),15,0)</f>
        <v>0</v>
      </c>
      <c r="Y124" s="1" t="s">
        <v>162</v>
      </c>
      <c r="Z124" s="10">
        <f>IF(OR(EXACT(Y124,$C$124),EXACT(Y124,$C$125)),15,0)</f>
        <v>0</v>
      </c>
      <c r="AA124" s="112" t="s">
        <v>186</v>
      </c>
      <c r="AB124" s="10">
        <f>IF(OR(EXACT(AA124,$C$124),EXACT(AA124,$C$125)),15,0)</f>
        <v>0</v>
      </c>
      <c r="AC124" s="1" t="s">
        <v>172</v>
      </c>
      <c r="AD124" s="10">
        <f>IF(OR(EXACT(AC124,$C$124),EXACT(AC124,$C$125)),15,0)</f>
        <v>0</v>
      </c>
      <c r="AE124" s="1" t="s">
        <v>168</v>
      </c>
      <c r="AF124" s="10">
        <f>IF(OR(EXACT(AE124,$C$124),EXACT(AE124,$C$125)),15,0)</f>
        <v>0</v>
      </c>
      <c r="AG124" s="1" t="s">
        <v>170</v>
      </c>
      <c r="AH124" s="10">
        <f>IF(OR(EXACT(AG124,$C$124),EXACT(AG124,$C$125)),15,0)</f>
        <v>0</v>
      </c>
      <c r="AI124" s="1" t="s">
        <v>162</v>
      </c>
      <c r="AJ124" s="10">
        <f>IF(OR(EXACT(AI124,$C$124),EXACT(AI124,$C$125)),15,0)</f>
        <v>0</v>
      </c>
      <c r="AK124" s="1" t="s">
        <v>176</v>
      </c>
      <c r="AL124" s="10">
        <f>IF(OR(EXACT(AK124,$C$124),EXACT(AK124,$C$125)),15,0)</f>
        <v>0</v>
      </c>
      <c r="AM124" s="1" t="s">
        <v>168</v>
      </c>
      <c r="AN124" s="10">
        <f>IF(OR(EXACT(AM124,$C$124),EXACT(AM124,$C$125)),15,0)</f>
        <v>0</v>
      </c>
      <c r="AO124" s="1" t="s">
        <v>170</v>
      </c>
      <c r="AP124" s="10">
        <f>IF(OR(EXACT(AO124,$C$124),EXACT(AO124,$C$125)),15,0)</f>
        <v>0</v>
      </c>
      <c r="AQ124" s="1" t="s">
        <v>184</v>
      </c>
      <c r="AR124" s="10">
        <f>IF(OR(EXACT(AQ124,$C$124),EXACT(AQ124,$C$125)),15,0)</f>
        <v>0</v>
      </c>
    </row>
    <row r="125" spans="1:64" ht="12.75" customHeight="1">
      <c r="A125" s="149"/>
      <c r="B125" s="125"/>
      <c r="C125" s="1"/>
      <c r="D125" s="73"/>
      <c r="E125" s="1" t="s">
        <v>168</v>
      </c>
      <c r="F125" s="10">
        <f>IF(OR(EXACT(E125,$C$124),EXACT(E125,$C$125)),15,0)</f>
        <v>0</v>
      </c>
      <c r="G125" s="1" t="s">
        <v>170</v>
      </c>
      <c r="H125" s="10">
        <f>IF(OR(EXACT(G125,$C$124),EXACT(G125,$C$125)),15,0)</f>
        <v>0</v>
      </c>
      <c r="I125" s="1" t="s">
        <v>170</v>
      </c>
      <c r="J125" s="10">
        <f>IF(OR(EXACT(I125,$C$124),EXACT(I125,$C$125)),15,0)</f>
        <v>0</v>
      </c>
      <c r="K125" s="1" t="s">
        <v>170</v>
      </c>
      <c r="L125" s="10">
        <f>IF(OR(EXACT(K125,$C$124),EXACT(K125,$C$125)),15,0)</f>
        <v>0</v>
      </c>
      <c r="M125" s="1" t="s">
        <v>168</v>
      </c>
      <c r="N125" s="10">
        <f>IF(OR(EXACT(M125,$C$124),EXACT(M125,$C$125)),15,0)</f>
        <v>0</v>
      </c>
      <c r="O125" s="112" t="s">
        <v>191</v>
      </c>
      <c r="P125" s="10">
        <f>IF(OR(EXACT(O125,$C$124),EXACT(O125,$C$125)),15,0)</f>
        <v>0</v>
      </c>
      <c r="Q125" s="1" t="s">
        <v>183</v>
      </c>
      <c r="R125" s="10">
        <f>IF(OR(EXACT(Q125,$C$124),EXACT(Q125,$C$125)),15,0)</f>
        <v>0</v>
      </c>
      <c r="S125" s="1" t="s">
        <v>168</v>
      </c>
      <c r="T125" s="10">
        <f>IF(OR(EXACT(S125,$C$124),EXACT(S125,$C$125)),15,0)</f>
        <v>0</v>
      </c>
      <c r="U125" s="1" t="s">
        <v>168</v>
      </c>
      <c r="V125" s="10">
        <f>IF(OR(EXACT(U125,$C$124),EXACT(U125,$C$125)),15,0)</f>
        <v>0</v>
      </c>
      <c r="W125" s="1" t="s">
        <v>170</v>
      </c>
      <c r="X125" s="10">
        <f>IF(OR(EXACT(W125,$C$124),EXACT(W125,$C$125)),15,0)</f>
        <v>0</v>
      </c>
      <c r="Y125" s="1" t="s">
        <v>170</v>
      </c>
      <c r="Z125" s="10">
        <f>IF(OR(EXACT(Y125,$C$124),EXACT(Y125,$C$125)),15,0)</f>
        <v>0</v>
      </c>
      <c r="AA125" s="112" t="s">
        <v>168</v>
      </c>
      <c r="AB125" s="10">
        <f>IF(OR(EXACT(AA125,$C$124),EXACT(AA125,$C$125)),15,0)</f>
        <v>0</v>
      </c>
      <c r="AC125" s="1" t="s">
        <v>170</v>
      </c>
      <c r="AD125" s="10">
        <f>IF(OR(EXACT(AC125,$C$124),EXACT(AC125,$C$125)),15,0)</f>
        <v>0</v>
      </c>
      <c r="AE125" s="1" t="s">
        <v>162</v>
      </c>
      <c r="AF125" s="10">
        <f>IF(OR(EXACT(AE125,$C$124),EXACT(AE125,$C$125)),15,0)</f>
        <v>0</v>
      </c>
      <c r="AG125" s="1" t="s">
        <v>162</v>
      </c>
      <c r="AH125" s="10">
        <f>IF(OR(EXACT(AG125,$C$124),EXACT(AG125,$C$125)),15,0)</f>
        <v>0</v>
      </c>
      <c r="AI125" s="1" t="s">
        <v>170</v>
      </c>
      <c r="AJ125" s="10">
        <f>IF(OR(EXACT(AI125,$C$124),EXACT(AI125,$C$125)),15,0)</f>
        <v>0</v>
      </c>
      <c r="AK125" s="1" t="s">
        <v>168</v>
      </c>
      <c r="AL125" s="10">
        <f>IF(OR(EXACT(AK125,$C$124),EXACT(AK125,$C$125)),15,0)</f>
        <v>0</v>
      </c>
      <c r="AM125" s="1" t="s">
        <v>170</v>
      </c>
      <c r="AN125" s="10">
        <f>IF(OR(EXACT(AM125,$C$124),EXACT(AM125,$C$125)),15,0)</f>
        <v>0</v>
      </c>
      <c r="AO125" s="1" t="s">
        <v>176</v>
      </c>
      <c r="AP125" s="10">
        <f>IF(OR(EXACT(AO125,$C$124),EXACT(AO125,$C$125)),15,0)</f>
        <v>0</v>
      </c>
      <c r="AQ125" s="1" t="s">
        <v>170</v>
      </c>
      <c r="AR125" s="10">
        <f>IF(OR(EXACT(AQ125,$C$124),EXACT(AQ125,$C$125)),15,0)</f>
        <v>0</v>
      </c>
    </row>
    <row r="126" spans="1:64" ht="27" customHeight="1">
      <c r="A126" s="91"/>
      <c r="B126" s="91"/>
      <c r="C126" s="88" t="s">
        <v>201</v>
      </c>
      <c r="D126" s="89"/>
      <c r="E126" s="151" t="s">
        <v>202</v>
      </c>
      <c r="F126" s="144"/>
      <c r="G126" s="151" t="s">
        <v>203</v>
      </c>
      <c r="H126" s="144"/>
      <c r="I126" s="151" t="s">
        <v>203</v>
      </c>
      <c r="J126" s="144"/>
      <c r="K126" s="151" t="s">
        <v>203</v>
      </c>
      <c r="L126" s="144"/>
      <c r="M126" s="151" t="s">
        <v>203</v>
      </c>
      <c r="N126" s="144"/>
      <c r="O126" s="151" t="s">
        <v>203</v>
      </c>
      <c r="P126" s="144"/>
      <c r="Q126" s="151" t="s">
        <v>203</v>
      </c>
      <c r="R126" s="144"/>
      <c r="S126" s="151" t="s">
        <v>203</v>
      </c>
      <c r="T126" s="144"/>
      <c r="U126" s="151" t="s">
        <v>203</v>
      </c>
      <c r="V126" s="144"/>
      <c r="W126" s="151" t="s">
        <v>203</v>
      </c>
      <c r="X126" s="144"/>
      <c r="Y126" s="151" t="s">
        <v>203</v>
      </c>
      <c r="Z126" s="144"/>
      <c r="AA126" s="151" t="s">
        <v>203</v>
      </c>
      <c r="AB126" s="144"/>
      <c r="AC126" s="151" t="s">
        <v>203</v>
      </c>
      <c r="AD126" s="144"/>
      <c r="AE126" s="151" t="s">
        <v>203</v>
      </c>
      <c r="AF126" s="144"/>
      <c r="AG126" s="151" t="s">
        <v>203</v>
      </c>
      <c r="AH126" s="144"/>
      <c r="AI126" s="151" t="s">
        <v>203</v>
      </c>
      <c r="AJ126" s="144"/>
      <c r="AK126" s="151" t="s">
        <v>203</v>
      </c>
      <c r="AL126" s="144"/>
      <c r="AM126" s="151" t="s">
        <v>203</v>
      </c>
      <c r="AN126" s="144"/>
      <c r="AO126" s="151" t="s">
        <v>203</v>
      </c>
      <c r="AP126" s="144"/>
      <c r="AQ126" s="151" t="s">
        <v>203</v>
      </c>
      <c r="AR126" s="144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</row>
    <row r="127" spans="1:64" ht="23.25" customHeight="1">
      <c r="A127" s="154" t="s">
        <v>204</v>
      </c>
      <c r="B127" s="155"/>
      <c r="C127" s="34"/>
      <c r="D127" s="92"/>
      <c r="E127" s="35" t="s">
        <v>168</v>
      </c>
      <c r="F127" s="36">
        <f>IF(EXACT($C127,E127),30,0)</f>
        <v>0</v>
      </c>
      <c r="G127" s="35" t="s">
        <v>170</v>
      </c>
      <c r="H127" s="36">
        <f>IF(EXACT($C127,G127),30,0)</f>
        <v>0</v>
      </c>
      <c r="I127" s="35" t="s">
        <v>162</v>
      </c>
      <c r="J127" s="36">
        <f>IF(EXACT($C127,I127),30,0)</f>
        <v>0</v>
      </c>
      <c r="K127" s="35" t="s">
        <v>170</v>
      </c>
      <c r="L127" s="36">
        <f>IF(EXACT($C127,K127),30,0)</f>
        <v>0</v>
      </c>
      <c r="M127" s="35" t="s">
        <v>168</v>
      </c>
      <c r="N127" s="36">
        <f>IF(EXACT($C127,M127),30,0)</f>
        <v>0</v>
      </c>
      <c r="O127" s="35" t="s">
        <v>191</v>
      </c>
      <c r="P127" s="36">
        <f>IF(EXACT($C127,O127),30,0)</f>
        <v>0</v>
      </c>
      <c r="Q127" s="35" t="s">
        <v>170</v>
      </c>
      <c r="R127" s="36">
        <f>IF(EXACT($C127,Q127),30,0)</f>
        <v>0</v>
      </c>
      <c r="S127" s="35" t="s">
        <v>167</v>
      </c>
      <c r="T127" s="36">
        <f>IF(EXACT($C127,S127),30,0)</f>
        <v>0</v>
      </c>
      <c r="U127" s="35" t="s">
        <v>170</v>
      </c>
      <c r="V127" s="36">
        <f>IF(EXACT($C127,U127),30,0)</f>
        <v>0</v>
      </c>
      <c r="W127" s="35" t="s">
        <v>168</v>
      </c>
      <c r="X127" s="36">
        <f>IF(EXACT($C127,W127),30,0)</f>
        <v>0</v>
      </c>
      <c r="Y127" s="35" t="s">
        <v>170</v>
      </c>
      <c r="Z127" s="36">
        <f>IF(EXACT($C127,Y127),30,0)</f>
        <v>0</v>
      </c>
      <c r="AA127" s="119" t="s">
        <v>186</v>
      </c>
      <c r="AB127" s="36">
        <f>IF(EXACT($C127,AA127),30,0)</f>
        <v>0</v>
      </c>
      <c r="AC127" s="35" t="s">
        <v>170</v>
      </c>
      <c r="AD127" s="36">
        <f>IF(EXACT($C127,AC127),30,0)</f>
        <v>0</v>
      </c>
      <c r="AE127" s="35" t="s">
        <v>168</v>
      </c>
      <c r="AF127" s="36">
        <f>IF(EXACT($C127,AE127),30,0)</f>
        <v>0</v>
      </c>
      <c r="AG127" s="35" t="s">
        <v>170</v>
      </c>
      <c r="AH127" s="36">
        <f>IF(EXACT($C127,AG127),30,0)</f>
        <v>0</v>
      </c>
      <c r="AI127" s="35" t="s">
        <v>170</v>
      </c>
      <c r="AJ127" s="36">
        <f>IF(EXACT($C127,AI127),30,0)</f>
        <v>0</v>
      </c>
      <c r="AK127" s="35" t="s">
        <v>168</v>
      </c>
      <c r="AL127" s="36">
        <f>IF(EXACT($C127,AK127),30,0)</f>
        <v>0</v>
      </c>
      <c r="AM127" s="35" t="s">
        <v>168</v>
      </c>
      <c r="AN127" s="36">
        <f>IF(EXACT($C127,AM127),30,0)</f>
        <v>0</v>
      </c>
      <c r="AO127" s="35" t="s">
        <v>170</v>
      </c>
      <c r="AP127" s="36">
        <f>IF(EXACT($C127,AO127),30,0)</f>
        <v>0</v>
      </c>
      <c r="AQ127" s="35" t="s">
        <v>184</v>
      </c>
      <c r="AR127" s="36">
        <f>IF(EXACT($C127,AQ127),30,0)</f>
        <v>0</v>
      </c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</row>
    <row r="128" spans="1:64" ht="30.75" customHeight="1">
      <c r="A128" s="132" t="s">
        <v>205</v>
      </c>
      <c r="B128" s="133"/>
      <c r="C128" s="17"/>
      <c r="D128" s="93"/>
      <c r="E128" s="156">
        <f>SUM(F93:F108,F110:F117,F119:F122,F124:F125,F127)</f>
        <v>0</v>
      </c>
      <c r="F128" s="127"/>
      <c r="G128" s="152">
        <f>SUM(H93:H108,H110:H117,H119:H122,H124:H125,H127)</f>
        <v>0</v>
      </c>
      <c r="H128" s="127"/>
      <c r="I128" s="152">
        <f>SUM(J93:J108,J110:J117,J119:J122,J124:J125,J127)</f>
        <v>0</v>
      </c>
      <c r="J128" s="127"/>
      <c r="K128" s="152">
        <f>SUM(L93:L108,L110:L117,L119:L122,L124:L125,L127)</f>
        <v>0</v>
      </c>
      <c r="L128" s="127"/>
      <c r="M128" s="152">
        <f>SUM(N93:N108,N110:N117,N119:N122,N124:N125,N127)</f>
        <v>0</v>
      </c>
      <c r="N128" s="127"/>
      <c r="O128" s="152">
        <f>SUM(P93:P108,P110:P117,P119:P122,P124:P125,P127)</f>
        <v>0</v>
      </c>
      <c r="P128" s="127"/>
      <c r="Q128" s="152">
        <f>SUM(R93:R108,R110:R117,R119:R122,R124:R125,R127)</f>
        <v>0</v>
      </c>
      <c r="R128" s="127"/>
      <c r="S128" s="153">
        <f>SUM(T93:T108,T110:T117,T119:T122,T124:T125,T127)</f>
        <v>0</v>
      </c>
      <c r="T128" s="144"/>
      <c r="U128" s="153">
        <f>SUM(V93:V108,V110:V117,V119:V122,V124:V125,V127)</f>
        <v>0</v>
      </c>
      <c r="V128" s="144"/>
      <c r="W128" s="152">
        <f>SUM(X93:X108,X110:X117,X119:X122,X124:X125,X127)</f>
        <v>0</v>
      </c>
      <c r="X128" s="127"/>
      <c r="Y128" s="152">
        <f>SUM(Z93:Z108,Z110:Z117,Z119:Z122,Z124:Z125,Z127)</f>
        <v>0</v>
      </c>
      <c r="Z128" s="127"/>
      <c r="AA128" s="152">
        <f>SUM(AB93:AB108,AB110:AB117,AB119:AB122,AB124:AB125,AB127)</f>
        <v>0</v>
      </c>
      <c r="AB128" s="127"/>
      <c r="AC128" s="153">
        <f>SUM(AD93:AD108,AD110:AD117,AD119:AD122,AD124:AD125,AD127)</f>
        <v>0</v>
      </c>
      <c r="AD128" s="144"/>
      <c r="AE128" s="152">
        <f>SUM(AF93:AF108,AF110:AF117,AF119:AF122,AF124:AF125,AF127)</f>
        <v>0</v>
      </c>
      <c r="AF128" s="127"/>
      <c r="AG128" s="152">
        <f>SUM(AH93:AH108,AH110:AH117,AH119:AH122,AH124:AH125,AH127)</f>
        <v>0</v>
      </c>
      <c r="AH128" s="127"/>
      <c r="AI128" s="152">
        <f>SUM(AJ93:AJ108,AJ110:AJ117,AJ119:AJ122,AJ124:AJ125,AJ127)</f>
        <v>0</v>
      </c>
      <c r="AJ128" s="127"/>
      <c r="AK128" s="152">
        <f>SUM(AL93:AL108,AL110:AL117,AL119:AL122,AL124:AL125,AL127)</f>
        <v>0</v>
      </c>
      <c r="AL128" s="127"/>
      <c r="AM128" s="152">
        <f>SUM(AN93:AN108,AN110:AN117,AN119:AN122,AN124:AN125,AN127)</f>
        <v>0</v>
      </c>
      <c r="AN128" s="127"/>
      <c r="AO128" s="153">
        <f>SUM(AP93:AP108,AP110:AP117,AP119:AP122,AP124:AP125,AP127)</f>
        <v>0</v>
      </c>
      <c r="AP128" s="144"/>
      <c r="AQ128" s="153">
        <f>SUM(AR93:AR108,AR110:AR117,AR119:AR122,AR124:AR125,AR127)</f>
        <v>0</v>
      </c>
      <c r="AR128" s="144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</row>
    <row r="129" spans="1:64" ht="70.5" customHeight="1">
      <c r="A129" s="157" t="s">
        <v>206</v>
      </c>
      <c r="B129" s="158"/>
      <c r="C129" s="158"/>
      <c r="D129" s="94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 t="s">
        <v>207</v>
      </c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 t="s">
        <v>207</v>
      </c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</row>
    <row r="130" spans="1:64" ht="69" customHeight="1">
      <c r="A130" s="159" t="s">
        <v>208</v>
      </c>
      <c r="B130" s="133"/>
      <c r="C130" s="133"/>
      <c r="D130" s="40"/>
      <c r="E130" s="156">
        <f>E90+E128+F129</f>
        <v>0</v>
      </c>
      <c r="F130" s="127"/>
      <c r="G130" s="152">
        <f>G90+G128+H129</f>
        <v>0</v>
      </c>
      <c r="H130" s="127"/>
      <c r="I130" s="152">
        <f>I90+I128+J129</f>
        <v>0</v>
      </c>
      <c r="J130" s="127"/>
      <c r="K130" s="152">
        <f>K90+K128+L129</f>
        <v>0</v>
      </c>
      <c r="L130" s="127"/>
      <c r="M130" s="152">
        <f>M90+M128+N129</f>
        <v>0</v>
      </c>
      <c r="N130" s="127"/>
      <c r="O130" s="152">
        <f>O90+O128+P129</f>
        <v>0</v>
      </c>
      <c r="P130" s="127"/>
      <c r="Q130" s="152">
        <f>Q90+Q128+R129</f>
        <v>0</v>
      </c>
      <c r="R130" s="127"/>
      <c r="S130" s="160">
        <f>S90+S128+T129</f>
        <v>0</v>
      </c>
      <c r="T130" s="121"/>
      <c r="U130" s="160">
        <f>U90+U128+V129</f>
        <v>0</v>
      </c>
      <c r="V130" s="121"/>
      <c r="W130" s="152">
        <f>W90+W128+X129</f>
        <v>0</v>
      </c>
      <c r="X130" s="127"/>
      <c r="Y130" s="152">
        <f>Y90+Y128+Z129</f>
        <v>0</v>
      </c>
      <c r="Z130" s="127"/>
      <c r="AA130" s="152">
        <f>AA90+AA128+AB129</f>
        <v>0</v>
      </c>
      <c r="AB130" s="127"/>
      <c r="AC130" s="160">
        <f>AC90+AC128+AD129</f>
        <v>0</v>
      </c>
      <c r="AD130" s="121"/>
      <c r="AE130" s="152">
        <f>AE90+AE128+AF129</f>
        <v>0</v>
      </c>
      <c r="AF130" s="127"/>
      <c r="AG130" s="152">
        <f>AG90+AG128+AH129</f>
        <v>0</v>
      </c>
      <c r="AH130" s="127"/>
      <c r="AI130" s="152">
        <f>AI90+AI128+AJ129</f>
        <v>0</v>
      </c>
      <c r="AJ130" s="127"/>
      <c r="AK130" s="152">
        <f>AK90+AK128+AL129</f>
        <v>0</v>
      </c>
      <c r="AL130" s="127"/>
      <c r="AM130" s="152">
        <f>AM90+AM128+AN129</f>
        <v>0</v>
      </c>
      <c r="AN130" s="127"/>
      <c r="AO130" s="160">
        <f>AO90+AO128+AP129</f>
        <v>0</v>
      </c>
      <c r="AP130" s="121"/>
      <c r="AQ130" s="160">
        <f>AQ90+AQ128+AR129</f>
        <v>0</v>
      </c>
      <c r="AR130" s="12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41"/>
      <c r="BL130" s="41"/>
    </row>
    <row r="131" spans="1:64" ht="12.75" customHeight="1">
      <c r="C131" s="1"/>
      <c r="D131" s="1"/>
      <c r="E131" s="2"/>
      <c r="G131" s="2"/>
      <c r="I131" s="2"/>
      <c r="K131" s="2"/>
      <c r="M131" s="2"/>
      <c r="O131" s="2"/>
      <c r="Q131" s="2"/>
      <c r="S131" s="2"/>
      <c r="U131" s="2"/>
      <c r="W131" s="2"/>
      <c r="Y131" s="2"/>
      <c r="AA131" s="2"/>
      <c r="AC131" s="2"/>
      <c r="AE131" s="2"/>
      <c r="AG131" s="2"/>
      <c r="AI131" s="2"/>
      <c r="AK131" s="2"/>
      <c r="AM131" s="2"/>
      <c r="AO131" s="2"/>
      <c r="AQ131" s="2"/>
    </row>
    <row r="132" spans="1:64" ht="12.75" customHeight="1">
      <c r="A132" s="8"/>
      <c r="B132" s="33"/>
      <c r="C132" s="1"/>
      <c r="D132" s="1"/>
      <c r="E132" s="2"/>
      <c r="G132" s="2"/>
      <c r="I132" s="2"/>
      <c r="K132" s="2"/>
      <c r="M132" s="2"/>
      <c r="O132" s="2"/>
      <c r="Q132" s="2"/>
      <c r="S132" s="2"/>
      <c r="U132" s="2"/>
      <c r="W132" s="2"/>
      <c r="Y132" s="2"/>
      <c r="AA132" s="2"/>
      <c r="AC132" s="2"/>
      <c r="AE132" s="2"/>
      <c r="AG132" s="2"/>
      <c r="AI132" s="2"/>
      <c r="AK132" s="2"/>
      <c r="AM132" s="2"/>
      <c r="AO132" s="2"/>
      <c r="AQ132" s="2"/>
    </row>
    <row r="133" spans="1:64" ht="12.75" customHeight="1">
      <c r="A133" s="8"/>
      <c r="B133" s="33"/>
      <c r="C133" s="1"/>
      <c r="D133" s="1"/>
      <c r="E133" s="2"/>
      <c r="G133" s="2"/>
      <c r="I133" s="2"/>
      <c r="K133" s="2"/>
      <c r="M133" s="2"/>
      <c r="O133" s="2"/>
      <c r="Q133" s="2"/>
      <c r="S133" s="2"/>
      <c r="U133" s="2"/>
      <c r="W133" s="2"/>
      <c r="Y133" s="2"/>
      <c r="AA133" s="2"/>
      <c r="AC133" s="2"/>
      <c r="AE133" s="2"/>
      <c r="AG133" s="2"/>
      <c r="AI133" s="2"/>
      <c r="AK133" s="2"/>
      <c r="AM133" s="2"/>
      <c r="AO133" s="2"/>
      <c r="AQ133" s="2"/>
    </row>
    <row r="134" spans="1:64" ht="12.75" customHeight="1">
      <c r="A134" s="8"/>
      <c r="B134" s="2"/>
      <c r="C134" s="1"/>
      <c r="D134" s="1"/>
      <c r="E134" s="2"/>
      <c r="G134" s="2"/>
      <c r="I134" s="2"/>
      <c r="K134" s="2"/>
      <c r="M134" s="2"/>
      <c r="O134" s="2"/>
      <c r="Q134" s="2"/>
      <c r="S134" s="2"/>
      <c r="U134" s="2"/>
      <c r="W134" s="2"/>
      <c r="Y134" s="2"/>
      <c r="AA134" s="2"/>
      <c r="AC134" s="2"/>
      <c r="AE134" s="2"/>
      <c r="AG134" s="2"/>
      <c r="AI134" s="2"/>
      <c r="AK134" s="2"/>
      <c r="AM134" s="2"/>
      <c r="AO134" s="2"/>
      <c r="AQ134" s="2"/>
    </row>
    <row r="135" spans="1:64" ht="12.75" customHeight="1">
      <c r="C135" s="1"/>
      <c r="D135" s="1"/>
      <c r="E135" s="2"/>
      <c r="G135" s="2"/>
      <c r="I135" s="2"/>
      <c r="K135" s="2"/>
      <c r="M135" s="2"/>
      <c r="O135" s="2"/>
      <c r="Q135" s="2"/>
      <c r="S135" s="2"/>
      <c r="U135" s="2"/>
      <c r="W135" s="2"/>
      <c r="Y135" s="2"/>
      <c r="AA135" s="2"/>
      <c r="AC135" s="2"/>
      <c r="AE135" s="2"/>
      <c r="AG135" s="2"/>
      <c r="AI135" s="2"/>
      <c r="AK135" s="2"/>
      <c r="AM135" s="2"/>
      <c r="AO135" s="2"/>
      <c r="AQ135" s="2"/>
    </row>
    <row r="136" spans="1:64" ht="12.75" customHeight="1">
      <c r="A136" s="8"/>
      <c r="B136" s="33"/>
      <c r="C136" s="1"/>
      <c r="D136" s="1"/>
      <c r="E136" s="2"/>
      <c r="G136" s="2"/>
      <c r="I136" s="2"/>
      <c r="K136" s="2"/>
      <c r="M136" s="2"/>
      <c r="O136" s="2"/>
      <c r="Q136" s="2"/>
      <c r="S136" s="2"/>
      <c r="U136" s="2"/>
      <c r="W136" s="2"/>
      <c r="Y136" s="2"/>
      <c r="AA136" s="2"/>
      <c r="AC136" s="2"/>
      <c r="AE136" s="2"/>
      <c r="AG136" s="2"/>
      <c r="AI136" s="2"/>
      <c r="AK136" s="2"/>
      <c r="AM136" s="2"/>
      <c r="AO136" s="2"/>
      <c r="AQ136" s="2"/>
    </row>
    <row r="137" spans="1:64" ht="12.75" customHeight="1">
      <c r="A137" s="8"/>
      <c r="B137" s="33"/>
      <c r="C137" s="1"/>
      <c r="D137" s="1"/>
      <c r="E137" s="2"/>
      <c r="G137" s="2"/>
      <c r="I137" s="2"/>
      <c r="K137" s="2"/>
      <c r="M137" s="2"/>
      <c r="O137" s="2"/>
      <c r="Q137" s="2"/>
      <c r="S137" s="2"/>
      <c r="U137" s="2"/>
      <c r="W137" s="2"/>
      <c r="Y137" s="2"/>
      <c r="AA137" s="2"/>
      <c r="AC137" s="2"/>
      <c r="AE137" s="2"/>
      <c r="AG137" s="2"/>
      <c r="AI137" s="2"/>
      <c r="AK137" s="2"/>
      <c r="AM137" s="2"/>
      <c r="AO137" s="2"/>
      <c r="AQ137" s="2"/>
    </row>
    <row r="138" spans="1:64" ht="12.75" customHeight="1">
      <c r="A138" s="8"/>
      <c r="B138" s="33"/>
      <c r="C138" s="1"/>
      <c r="D138" s="1"/>
      <c r="E138" s="2"/>
      <c r="G138" s="2"/>
      <c r="I138" s="2"/>
      <c r="K138" s="2"/>
      <c r="M138" s="2"/>
      <c r="O138" s="2"/>
      <c r="Q138" s="2"/>
      <c r="S138" s="2"/>
      <c r="U138" s="2"/>
      <c r="W138" s="2"/>
      <c r="Y138" s="2"/>
      <c r="AA138" s="2"/>
      <c r="AC138" s="2"/>
      <c r="AE138" s="2"/>
      <c r="AG138" s="2"/>
      <c r="AI138" s="2"/>
      <c r="AK138" s="2"/>
      <c r="AM138" s="2"/>
      <c r="AO138" s="2"/>
      <c r="AQ138" s="2"/>
    </row>
    <row r="139" spans="1:64" ht="12.75" customHeight="1">
      <c r="C139" s="1"/>
      <c r="D139" s="1"/>
      <c r="E139" s="2"/>
      <c r="G139" s="2"/>
      <c r="I139" s="2"/>
      <c r="K139" s="2"/>
      <c r="M139" s="2"/>
      <c r="O139" s="2"/>
      <c r="Q139" s="2"/>
      <c r="S139" s="2"/>
      <c r="U139" s="2"/>
      <c r="W139" s="2"/>
      <c r="Y139" s="2"/>
      <c r="AA139" s="2"/>
      <c r="AC139" s="2"/>
      <c r="AE139" s="2"/>
      <c r="AG139" s="2"/>
      <c r="AI139" s="2"/>
      <c r="AK139" s="2"/>
      <c r="AM139" s="2"/>
      <c r="AO139" s="2"/>
      <c r="AQ139" s="2"/>
    </row>
    <row r="140" spans="1:64" ht="12.75" customHeight="1">
      <c r="C140" s="1"/>
      <c r="D140" s="1"/>
      <c r="E140" s="2"/>
      <c r="G140" s="2"/>
      <c r="I140" s="2"/>
      <c r="K140" s="2"/>
      <c r="M140" s="2"/>
      <c r="O140" s="2"/>
      <c r="Q140" s="2"/>
      <c r="S140" s="2"/>
      <c r="U140" s="2"/>
      <c r="W140" s="2"/>
      <c r="Y140" s="2"/>
      <c r="AA140" s="2"/>
      <c r="AC140" s="2"/>
      <c r="AE140" s="2"/>
      <c r="AG140" s="2"/>
      <c r="AI140" s="2"/>
      <c r="AK140" s="2"/>
      <c r="AM140" s="2"/>
      <c r="AO140" s="2"/>
      <c r="AQ140" s="2"/>
    </row>
    <row r="141" spans="1:64" ht="12.75" customHeight="1">
      <c r="C141" s="1"/>
      <c r="D141" s="1"/>
      <c r="E141" s="2"/>
      <c r="G141" s="2"/>
      <c r="I141" s="2"/>
      <c r="K141" s="2"/>
      <c r="M141" s="2"/>
      <c r="O141" s="2"/>
      <c r="Q141" s="2"/>
      <c r="S141" s="2"/>
      <c r="U141" s="2"/>
      <c r="W141" s="2"/>
      <c r="Y141" s="2"/>
      <c r="AA141" s="2"/>
      <c r="AC141" s="2"/>
      <c r="AE141" s="2"/>
      <c r="AG141" s="2"/>
      <c r="AI141" s="2"/>
      <c r="AK141" s="2"/>
      <c r="AM141" s="2"/>
      <c r="AO141" s="2"/>
      <c r="AQ141" s="2"/>
    </row>
    <row r="142" spans="1:64" ht="12.75" customHeight="1">
      <c r="C142" s="1"/>
      <c r="D142" s="1"/>
      <c r="E142" s="2"/>
      <c r="G142" s="2"/>
      <c r="I142" s="2"/>
      <c r="K142" s="2"/>
      <c r="M142" s="2"/>
      <c r="O142" s="2"/>
      <c r="Q142" s="2"/>
      <c r="S142" s="2"/>
      <c r="U142" s="2"/>
      <c r="W142" s="2"/>
      <c r="Y142" s="2"/>
      <c r="AA142" s="2"/>
      <c r="AC142" s="2"/>
      <c r="AE142" s="2"/>
      <c r="AG142" s="2"/>
      <c r="AI142" s="2"/>
      <c r="AK142" s="2"/>
      <c r="AM142" s="2"/>
      <c r="AO142" s="2"/>
      <c r="AQ142" s="2"/>
    </row>
    <row r="143" spans="1:64" ht="12.75" customHeight="1">
      <c r="C143" s="1"/>
      <c r="D143" s="1"/>
      <c r="E143" s="2"/>
      <c r="G143" s="2"/>
      <c r="I143" s="2"/>
      <c r="K143" s="2"/>
      <c r="M143" s="2"/>
      <c r="O143" s="2"/>
      <c r="Q143" s="2"/>
      <c r="S143" s="2"/>
      <c r="U143" s="2"/>
      <c r="W143" s="2"/>
      <c r="Y143" s="2"/>
      <c r="AA143" s="2"/>
      <c r="AC143" s="2"/>
      <c r="AE143" s="2"/>
      <c r="AG143" s="2"/>
      <c r="AI143" s="2"/>
      <c r="AK143" s="2"/>
      <c r="AM143" s="2"/>
      <c r="AO143" s="2"/>
      <c r="AQ143" s="2"/>
    </row>
    <row r="144" spans="1:64" ht="12.75" customHeight="1">
      <c r="C144" s="1"/>
      <c r="D144" s="1"/>
      <c r="E144" s="2"/>
      <c r="G144" s="2"/>
      <c r="I144" s="2"/>
      <c r="K144" s="2"/>
      <c r="M144" s="2"/>
      <c r="O144" s="2"/>
      <c r="Q144" s="2"/>
      <c r="S144" s="2"/>
      <c r="U144" s="2"/>
      <c r="W144" s="2"/>
      <c r="Y144" s="2"/>
      <c r="AA144" s="2"/>
      <c r="AC144" s="2"/>
      <c r="AE144" s="2"/>
      <c r="AG144" s="2"/>
      <c r="AI144" s="2"/>
      <c r="AK144" s="2"/>
      <c r="AM144" s="2"/>
      <c r="AO144" s="2"/>
      <c r="AQ144" s="2"/>
    </row>
    <row r="145" spans="1:43" ht="12.75" customHeight="1">
      <c r="C145" s="1"/>
      <c r="D145" s="1"/>
      <c r="E145" s="2"/>
      <c r="G145" s="2"/>
      <c r="I145" s="2"/>
      <c r="K145" s="2"/>
      <c r="M145" s="2"/>
      <c r="O145" s="2"/>
      <c r="Q145" s="2"/>
      <c r="S145" s="2"/>
      <c r="U145" s="2"/>
      <c r="W145" s="2"/>
      <c r="Y145" s="2"/>
      <c r="AA145" s="2"/>
      <c r="AC145" s="2"/>
      <c r="AE145" s="2"/>
      <c r="AG145" s="2"/>
      <c r="AI145" s="2"/>
      <c r="AK145" s="2"/>
      <c r="AM145" s="2"/>
      <c r="AO145" s="2"/>
      <c r="AQ145" s="2"/>
    </row>
    <row r="146" spans="1:43" ht="12.75" customHeight="1">
      <c r="C146" s="1"/>
      <c r="D146" s="1"/>
      <c r="E146" s="2"/>
      <c r="G146" s="2"/>
      <c r="I146" s="2"/>
      <c r="K146" s="2"/>
      <c r="M146" s="2"/>
      <c r="O146" s="2"/>
      <c r="Q146" s="2"/>
      <c r="S146" s="2"/>
      <c r="U146" s="2"/>
      <c r="W146" s="2"/>
      <c r="Y146" s="2"/>
      <c r="AA146" s="2"/>
      <c r="AC146" s="2"/>
      <c r="AE146" s="2"/>
      <c r="AG146" s="2"/>
      <c r="AI146" s="2"/>
      <c r="AK146" s="2"/>
      <c r="AM146" s="2"/>
      <c r="AO146" s="2"/>
      <c r="AQ146" s="2"/>
    </row>
    <row r="147" spans="1:43" ht="12.75" customHeight="1">
      <c r="A147" s="24"/>
      <c r="C147" s="1"/>
      <c r="D147" s="1"/>
      <c r="E147" s="2"/>
      <c r="G147" s="2"/>
      <c r="I147" s="2"/>
      <c r="K147" s="2"/>
      <c r="M147" s="2"/>
      <c r="O147" s="2"/>
      <c r="Q147" s="2"/>
      <c r="S147" s="2"/>
      <c r="U147" s="2"/>
      <c r="W147" s="2"/>
      <c r="Y147" s="2"/>
      <c r="AA147" s="2"/>
      <c r="AC147" s="2"/>
      <c r="AE147" s="2"/>
      <c r="AG147" s="2"/>
      <c r="AI147" s="2"/>
      <c r="AK147" s="2"/>
      <c r="AM147" s="2"/>
      <c r="AO147" s="2"/>
      <c r="AQ147" s="2"/>
    </row>
    <row r="148" spans="1:43" ht="12.75" customHeight="1">
      <c r="C148" s="1"/>
      <c r="D148" s="1"/>
      <c r="E148" s="2"/>
      <c r="G148" s="2"/>
      <c r="I148" s="2"/>
      <c r="K148" s="2"/>
      <c r="M148" s="2"/>
      <c r="O148" s="2"/>
      <c r="Q148" s="2"/>
      <c r="S148" s="2"/>
      <c r="U148" s="2"/>
      <c r="W148" s="2"/>
      <c r="Y148" s="2"/>
      <c r="AA148" s="2"/>
      <c r="AC148" s="2"/>
      <c r="AE148" s="2"/>
      <c r="AG148" s="2"/>
      <c r="AI148" s="2"/>
      <c r="AK148" s="2"/>
      <c r="AM148" s="2"/>
      <c r="AO148" s="2"/>
      <c r="AQ148" s="2"/>
    </row>
    <row r="149" spans="1:43" ht="12.75" customHeight="1">
      <c r="C149" s="1"/>
      <c r="D149" s="1"/>
      <c r="E149" s="2"/>
      <c r="G149" s="2"/>
      <c r="I149" s="2"/>
      <c r="K149" s="2"/>
      <c r="M149" s="2"/>
      <c r="O149" s="2"/>
      <c r="Q149" s="2"/>
      <c r="S149" s="2"/>
      <c r="U149" s="2"/>
      <c r="W149" s="2"/>
      <c r="Y149" s="2"/>
      <c r="AA149" s="2"/>
      <c r="AC149" s="2"/>
      <c r="AE149" s="2"/>
      <c r="AG149" s="2"/>
      <c r="AI149" s="2"/>
      <c r="AK149" s="2"/>
      <c r="AM149" s="2"/>
      <c r="AO149" s="2"/>
      <c r="AQ149" s="2"/>
    </row>
    <row r="150" spans="1:43" ht="12.75" customHeight="1">
      <c r="C150" s="1"/>
      <c r="D150" s="1"/>
      <c r="E150" s="2"/>
      <c r="G150" s="2"/>
      <c r="I150" s="2"/>
      <c r="K150" s="2"/>
      <c r="M150" s="2"/>
      <c r="O150" s="2"/>
      <c r="Q150" s="2"/>
      <c r="S150" s="2"/>
      <c r="U150" s="2"/>
      <c r="W150" s="2"/>
      <c r="Y150" s="2"/>
      <c r="AA150" s="2"/>
      <c r="AC150" s="2"/>
      <c r="AE150" s="2"/>
      <c r="AG150" s="2"/>
      <c r="AI150" s="2"/>
      <c r="AK150" s="2"/>
      <c r="AM150" s="2"/>
      <c r="AO150" s="2"/>
      <c r="AQ150" s="2"/>
    </row>
    <row r="151" spans="1:43" ht="12.75" customHeight="1">
      <c r="C151" s="1"/>
      <c r="D151" s="1"/>
      <c r="E151" s="2"/>
      <c r="G151" s="2"/>
      <c r="I151" s="2"/>
      <c r="K151" s="2"/>
      <c r="M151" s="2"/>
      <c r="O151" s="2"/>
      <c r="Q151" s="2"/>
      <c r="S151" s="2"/>
      <c r="U151" s="2"/>
      <c r="W151" s="2"/>
      <c r="Y151" s="2"/>
      <c r="AA151" s="2"/>
      <c r="AC151" s="2"/>
      <c r="AE151" s="2"/>
      <c r="AG151" s="2"/>
      <c r="AI151" s="2"/>
      <c r="AK151" s="2"/>
      <c r="AM151" s="2"/>
      <c r="AO151" s="2"/>
      <c r="AQ151" s="2"/>
    </row>
    <row r="152" spans="1:43" ht="12.75" customHeight="1">
      <c r="C152" s="1"/>
      <c r="D152" s="1"/>
      <c r="E152" s="2"/>
      <c r="G152" s="2"/>
      <c r="I152" s="2"/>
      <c r="K152" s="2"/>
      <c r="M152" s="2"/>
      <c r="O152" s="2"/>
      <c r="Q152" s="2"/>
      <c r="S152" s="2"/>
      <c r="U152" s="2"/>
      <c r="W152" s="2"/>
      <c r="Y152" s="2"/>
      <c r="AA152" s="2"/>
      <c r="AC152" s="2"/>
      <c r="AE152" s="2"/>
      <c r="AG152" s="2"/>
      <c r="AI152" s="2"/>
      <c r="AK152" s="2"/>
      <c r="AM152" s="2"/>
      <c r="AO152" s="2"/>
      <c r="AQ152" s="2"/>
    </row>
    <row r="153" spans="1:43" ht="12.75" customHeight="1">
      <c r="C153" s="1"/>
      <c r="D153" s="1"/>
      <c r="E153" s="2"/>
      <c r="G153" s="2"/>
      <c r="I153" s="2"/>
      <c r="K153" s="2"/>
      <c r="M153" s="2"/>
      <c r="O153" s="2"/>
      <c r="Q153" s="2"/>
      <c r="S153" s="2"/>
      <c r="U153" s="2"/>
      <c r="W153" s="2"/>
      <c r="Y153" s="2"/>
      <c r="AA153" s="2"/>
      <c r="AC153" s="2"/>
      <c r="AE153" s="2"/>
      <c r="AG153" s="2"/>
      <c r="AI153" s="2"/>
      <c r="AK153" s="2"/>
      <c r="AM153" s="2"/>
      <c r="AO153" s="2"/>
      <c r="AQ153" s="2"/>
    </row>
    <row r="154" spans="1:43" ht="12.75" customHeight="1">
      <c r="C154" s="1"/>
      <c r="D154" s="1"/>
      <c r="E154" s="2"/>
      <c r="G154" s="2"/>
      <c r="I154" s="2"/>
      <c r="K154" s="2"/>
      <c r="M154" s="2"/>
      <c r="O154" s="2"/>
      <c r="Q154" s="2"/>
      <c r="S154" s="2"/>
      <c r="U154" s="2"/>
      <c r="W154" s="2"/>
      <c r="Y154" s="2"/>
      <c r="AA154" s="2"/>
      <c r="AC154" s="2"/>
      <c r="AE154" s="2"/>
      <c r="AG154" s="2"/>
      <c r="AI154" s="2"/>
      <c r="AK154" s="2"/>
      <c r="AM154" s="2"/>
      <c r="AO154" s="2"/>
      <c r="AQ154" s="2"/>
    </row>
    <row r="155" spans="1:43" ht="12.75" customHeight="1">
      <c r="C155" s="1"/>
      <c r="D155" s="1"/>
      <c r="E155" s="2"/>
      <c r="G155" s="2"/>
      <c r="I155" s="2"/>
      <c r="K155" s="2"/>
      <c r="M155" s="2"/>
      <c r="O155" s="2"/>
      <c r="Q155" s="2"/>
      <c r="S155" s="2"/>
      <c r="U155" s="2"/>
      <c r="W155" s="2"/>
      <c r="Y155" s="2"/>
      <c r="AA155" s="2"/>
      <c r="AC155" s="2"/>
      <c r="AE155" s="2"/>
      <c r="AG155" s="2"/>
      <c r="AI155" s="2"/>
      <c r="AK155" s="2"/>
      <c r="AM155" s="2"/>
      <c r="AO155" s="2"/>
      <c r="AQ155" s="2"/>
    </row>
    <row r="156" spans="1:43" ht="12.75" customHeight="1">
      <c r="C156" s="1"/>
      <c r="D156" s="1"/>
      <c r="E156" s="2"/>
      <c r="G156" s="2"/>
      <c r="I156" s="2"/>
      <c r="K156" s="2"/>
      <c r="M156" s="2"/>
      <c r="O156" s="2"/>
      <c r="Q156" s="2"/>
      <c r="S156" s="2"/>
      <c r="U156" s="2"/>
      <c r="W156" s="2"/>
      <c r="Y156" s="2"/>
      <c r="AA156" s="2"/>
      <c r="AC156" s="2"/>
      <c r="AE156" s="2"/>
      <c r="AG156" s="2"/>
      <c r="AI156" s="2"/>
      <c r="AK156" s="2"/>
      <c r="AM156" s="2"/>
      <c r="AO156" s="2"/>
      <c r="AQ156" s="2"/>
    </row>
    <row r="157" spans="1:43" ht="12.75" customHeight="1">
      <c r="C157" s="1"/>
      <c r="D157" s="1"/>
      <c r="E157" s="2"/>
      <c r="G157" s="2"/>
      <c r="I157" s="2"/>
      <c r="K157" s="2"/>
      <c r="M157" s="2"/>
      <c r="O157" s="2"/>
      <c r="Q157" s="2"/>
      <c r="S157" s="2"/>
      <c r="U157" s="2"/>
      <c r="W157" s="2"/>
      <c r="Y157" s="2"/>
      <c r="AA157" s="2"/>
      <c r="AC157" s="2"/>
      <c r="AE157" s="2"/>
      <c r="AG157" s="2"/>
      <c r="AI157" s="2"/>
      <c r="AK157" s="2"/>
      <c r="AM157" s="2"/>
      <c r="AO157" s="2"/>
      <c r="AQ157" s="2"/>
    </row>
    <row r="158" spans="1:43" ht="12.75" customHeight="1">
      <c r="C158" s="1"/>
      <c r="D158" s="1"/>
      <c r="E158" s="2"/>
      <c r="G158" s="2"/>
      <c r="I158" s="2"/>
      <c r="K158" s="2"/>
      <c r="M158" s="2"/>
      <c r="O158" s="2"/>
      <c r="Q158" s="2"/>
      <c r="S158" s="2"/>
      <c r="U158" s="2"/>
      <c r="W158" s="2"/>
      <c r="Y158" s="2"/>
      <c r="AA158" s="2"/>
      <c r="AC158" s="2"/>
      <c r="AE158" s="2"/>
      <c r="AG158" s="2"/>
      <c r="AI158" s="2"/>
      <c r="AK158" s="2"/>
      <c r="AM158" s="2"/>
      <c r="AO158" s="2"/>
      <c r="AQ158" s="2"/>
    </row>
    <row r="159" spans="1:43" ht="12.75" customHeight="1">
      <c r="C159" s="1"/>
      <c r="D159" s="1"/>
      <c r="E159" s="2"/>
      <c r="G159" s="2"/>
      <c r="I159" s="2"/>
      <c r="K159" s="2"/>
      <c r="M159" s="2"/>
      <c r="O159" s="2"/>
      <c r="Q159" s="2"/>
      <c r="S159" s="2"/>
      <c r="U159" s="2"/>
      <c r="W159" s="2"/>
      <c r="Y159" s="2"/>
      <c r="AA159" s="2"/>
      <c r="AC159" s="2"/>
      <c r="AE159" s="2"/>
      <c r="AG159" s="2"/>
      <c r="AI159" s="2"/>
      <c r="AK159" s="2"/>
      <c r="AM159" s="2"/>
      <c r="AO159" s="2"/>
      <c r="AQ159" s="2"/>
    </row>
    <row r="160" spans="1:43" ht="12.75" customHeight="1">
      <c r="C160" s="1"/>
      <c r="D160" s="1"/>
      <c r="E160" s="2"/>
      <c r="G160" s="2"/>
      <c r="I160" s="2"/>
      <c r="K160" s="2"/>
      <c r="M160" s="2"/>
      <c r="O160" s="2"/>
      <c r="Q160" s="2"/>
      <c r="S160" s="2"/>
      <c r="U160" s="2"/>
      <c r="W160" s="2"/>
      <c r="Y160" s="2"/>
      <c r="AA160" s="2"/>
      <c r="AC160" s="2"/>
      <c r="AE160" s="2"/>
      <c r="AG160" s="2"/>
      <c r="AI160" s="2"/>
      <c r="AK160" s="2"/>
      <c r="AM160" s="2"/>
      <c r="AO160" s="2"/>
      <c r="AQ160" s="2"/>
    </row>
    <row r="161" spans="3:43" ht="12.75" customHeight="1">
      <c r="C161" s="1"/>
      <c r="D161" s="1"/>
      <c r="E161" s="2"/>
      <c r="G161" s="2"/>
      <c r="I161" s="2"/>
      <c r="K161" s="2"/>
      <c r="M161" s="2"/>
      <c r="O161" s="2"/>
      <c r="Q161" s="2"/>
      <c r="S161" s="2"/>
      <c r="U161" s="2"/>
      <c r="W161" s="2"/>
      <c r="Y161" s="2"/>
      <c r="AA161" s="2"/>
      <c r="AC161" s="2"/>
      <c r="AE161" s="2"/>
      <c r="AG161" s="2"/>
      <c r="AI161" s="2"/>
      <c r="AK161" s="2"/>
      <c r="AM161" s="2"/>
      <c r="AO161" s="2"/>
      <c r="AQ161" s="2"/>
    </row>
    <row r="162" spans="3:43" ht="12.75" customHeight="1">
      <c r="C162" s="1"/>
      <c r="D162" s="1"/>
      <c r="E162" s="2"/>
      <c r="G162" s="2"/>
      <c r="I162" s="2"/>
      <c r="K162" s="2"/>
      <c r="M162" s="2"/>
      <c r="O162" s="2"/>
      <c r="Q162" s="2"/>
      <c r="S162" s="2"/>
      <c r="U162" s="2"/>
      <c r="W162" s="2"/>
      <c r="Y162" s="2"/>
      <c r="AA162" s="2"/>
      <c r="AC162" s="2"/>
      <c r="AE162" s="2"/>
      <c r="AG162" s="2"/>
      <c r="AI162" s="2"/>
      <c r="AK162" s="2"/>
      <c r="AM162" s="2"/>
      <c r="AO162" s="2"/>
      <c r="AQ162" s="2"/>
    </row>
    <row r="163" spans="3:43" ht="12.75" customHeight="1">
      <c r="C163" s="1"/>
      <c r="D163" s="1"/>
      <c r="E163" s="2"/>
      <c r="G163" s="2"/>
      <c r="I163" s="2"/>
      <c r="K163" s="2"/>
      <c r="M163" s="2"/>
      <c r="O163" s="2"/>
      <c r="Q163" s="2"/>
      <c r="S163" s="2"/>
      <c r="U163" s="2"/>
      <c r="W163" s="2"/>
      <c r="Y163" s="2"/>
      <c r="AA163" s="2"/>
      <c r="AC163" s="2"/>
      <c r="AE163" s="2"/>
      <c r="AG163" s="2"/>
      <c r="AI163" s="2"/>
      <c r="AK163" s="2"/>
      <c r="AM163" s="2"/>
      <c r="AO163" s="2"/>
      <c r="AQ163" s="2"/>
    </row>
    <row r="164" spans="3:43" ht="12.75" customHeight="1">
      <c r="C164" s="1"/>
      <c r="D164" s="1"/>
      <c r="E164" s="2"/>
      <c r="G164" s="2"/>
      <c r="I164" s="2"/>
      <c r="K164" s="2"/>
      <c r="M164" s="2"/>
      <c r="O164" s="2"/>
      <c r="Q164" s="2"/>
      <c r="S164" s="2"/>
      <c r="U164" s="2"/>
      <c r="W164" s="2"/>
      <c r="Y164" s="2"/>
      <c r="AA164" s="2"/>
      <c r="AC164" s="2"/>
      <c r="AE164" s="2"/>
      <c r="AG164" s="2"/>
      <c r="AI164" s="2"/>
      <c r="AK164" s="2"/>
      <c r="AM164" s="2"/>
      <c r="AO164" s="2"/>
      <c r="AQ164" s="2"/>
    </row>
    <row r="165" spans="3:43" ht="12.75" customHeight="1">
      <c r="C165" s="1"/>
      <c r="D165" s="1"/>
      <c r="E165" s="2"/>
      <c r="G165" s="2"/>
      <c r="I165" s="2"/>
      <c r="K165" s="2"/>
      <c r="M165" s="2"/>
      <c r="O165" s="2"/>
      <c r="Q165" s="2"/>
      <c r="S165" s="2"/>
      <c r="U165" s="2"/>
      <c r="W165" s="2"/>
      <c r="Y165" s="2"/>
      <c r="AA165" s="2"/>
      <c r="AC165" s="2"/>
      <c r="AE165" s="2"/>
      <c r="AG165" s="2"/>
      <c r="AI165" s="2"/>
      <c r="AK165" s="2"/>
      <c r="AM165" s="2"/>
      <c r="AO165" s="2"/>
      <c r="AQ165" s="2"/>
    </row>
    <row r="166" spans="3:43" ht="12.75" customHeight="1">
      <c r="C166" s="1"/>
      <c r="D166" s="1"/>
      <c r="E166" s="2"/>
      <c r="G166" s="2"/>
      <c r="I166" s="2"/>
      <c r="K166" s="2"/>
      <c r="M166" s="2"/>
      <c r="O166" s="2"/>
      <c r="Q166" s="2"/>
      <c r="S166" s="2"/>
      <c r="U166" s="2"/>
      <c r="W166" s="2"/>
      <c r="Y166" s="2"/>
      <c r="AA166" s="2"/>
      <c r="AC166" s="2"/>
      <c r="AE166" s="2"/>
      <c r="AG166" s="2"/>
      <c r="AI166" s="2"/>
      <c r="AK166" s="2"/>
      <c r="AM166" s="2"/>
      <c r="AO166" s="2"/>
      <c r="AQ166" s="2"/>
    </row>
    <row r="167" spans="3:43" ht="12.75" customHeight="1">
      <c r="C167" s="1"/>
      <c r="D167" s="1"/>
      <c r="E167" s="2"/>
      <c r="G167" s="2"/>
      <c r="I167" s="2"/>
      <c r="K167" s="2"/>
      <c r="M167" s="2"/>
      <c r="O167" s="2"/>
      <c r="Q167" s="2"/>
      <c r="S167" s="2"/>
      <c r="U167" s="2"/>
      <c r="W167" s="2"/>
      <c r="Y167" s="2"/>
      <c r="AA167" s="2"/>
      <c r="AC167" s="2"/>
      <c r="AE167" s="2"/>
      <c r="AG167" s="2"/>
      <c r="AI167" s="2"/>
      <c r="AK167" s="2"/>
      <c r="AM167" s="2"/>
      <c r="AO167" s="2"/>
      <c r="AQ167" s="2"/>
    </row>
    <row r="168" spans="3:43" ht="12.75" customHeight="1">
      <c r="C168" s="1"/>
      <c r="D168" s="1"/>
      <c r="E168" s="2"/>
      <c r="G168" s="2"/>
      <c r="I168" s="2"/>
      <c r="K168" s="2"/>
      <c r="M168" s="2"/>
      <c r="O168" s="2"/>
      <c r="Q168" s="2"/>
      <c r="S168" s="2"/>
      <c r="U168" s="2"/>
      <c r="W168" s="2"/>
      <c r="Y168" s="2"/>
      <c r="AA168" s="2"/>
      <c r="AC168" s="2"/>
      <c r="AE168" s="2"/>
      <c r="AG168" s="2"/>
      <c r="AI168" s="2"/>
      <c r="AK168" s="2"/>
      <c r="AM168" s="2"/>
      <c r="AO168" s="2"/>
      <c r="AQ168" s="2"/>
    </row>
    <row r="169" spans="3:43" ht="12.75" customHeight="1">
      <c r="C169" s="1"/>
      <c r="D169" s="1"/>
      <c r="E169" s="2"/>
      <c r="G169" s="2"/>
      <c r="I169" s="2"/>
      <c r="K169" s="2"/>
      <c r="M169" s="2"/>
      <c r="O169" s="2"/>
      <c r="Q169" s="2"/>
      <c r="S169" s="2"/>
      <c r="U169" s="2"/>
      <c r="W169" s="2"/>
      <c r="Y169" s="2"/>
      <c r="AA169" s="2"/>
      <c r="AC169" s="2"/>
      <c r="AE169" s="2"/>
      <c r="AG169" s="2"/>
      <c r="AI169" s="2"/>
      <c r="AK169" s="2"/>
      <c r="AM169" s="2"/>
      <c r="AO169" s="2"/>
      <c r="AQ169" s="2"/>
    </row>
    <row r="170" spans="3:43" ht="12.75" customHeight="1">
      <c r="C170" s="1"/>
      <c r="D170" s="1"/>
      <c r="E170" s="2"/>
      <c r="G170" s="2"/>
      <c r="I170" s="2"/>
      <c r="K170" s="2"/>
      <c r="M170" s="2"/>
      <c r="O170" s="2"/>
      <c r="Q170" s="2"/>
      <c r="S170" s="2"/>
      <c r="U170" s="2"/>
      <c r="W170" s="2"/>
      <c r="Y170" s="2"/>
      <c r="AA170" s="2"/>
      <c r="AC170" s="2"/>
      <c r="AE170" s="2"/>
      <c r="AG170" s="2"/>
      <c r="AI170" s="2"/>
      <c r="AK170" s="2"/>
      <c r="AM170" s="2"/>
      <c r="AO170" s="2"/>
      <c r="AQ170" s="2"/>
    </row>
    <row r="171" spans="3:43" ht="12.75" customHeight="1">
      <c r="C171" s="1"/>
      <c r="D171" s="1"/>
      <c r="E171" s="2"/>
      <c r="G171" s="2"/>
      <c r="I171" s="2"/>
      <c r="K171" s="2"/>
      <c r="M171" s="2"/>
      <c r="O171" s="2"/>
      <c r="Q171" s="2"/>
      <c r="S171" s="2"/>
      <c r="U171" s="2"/>
      <c r="W171" s="2"/>
      <c r="Y171" s="2"/>
      <c r="AA171" s="2"/>
      <c r="AC171" s="2"/>
      <c r="AE171" s="2"/>
      <c r="AG171" s="2"/>
      <c r="AI171" s="2"/>
      <c r="AK171" s="2"/>
      <c r="AM171" s="2"/>
      <c r="AO171" s="2"/>
      <c r="AQ171" s="2"/>
    </row>
    <row r="172" spans="3:43" ht="12.75" customHeight="1">
      <c r="C172" s="1"/>
      <c r="D172" s="1"/>
      <c r="E172" s="2"/>
      <c r="G172" s="2"/>
      <c r="I172" s="2"/>
      <c r="K172" s="2"/>
      <c r="M172" s="2"/>
      <c r="O172" s="2"/>
      <c r="Q172" s="2"/>
      <c r="S172" s="2"/>
      <c r="U172" s="2"/>
      <c r="W172" s="2"/>
      <c r="Y172" s="2"/>
      <c r="AA172" s="2"/>
      <c r="AC172" s="2"/>
      <c r="AE172" s="2"/>
      <c r="AG172" s="2"/>
      <c r="AI172" s="2"/>
      <c r="AK172" s="2"/>
      <c r="AM172" s="2"/>
      <c r="AO172" s="2"/>
      <c r="AQ172" s="2"/>
    </row>
    <row r="173" spans="3:43" ht="12.75" customHeight="1">
      <c r="C173" s="1"/>
      <c r="D173" s="1"/>
      <c r="E173" s="2"/>
      <c r="G173" s="2"/>
      <c r="I173" s="2"/>
      <c r="K173" s="2"/>
      <c r="M173" s="2"/>
      <c r="O173" s="2"/>
      <c r="Q173" s="2"/>
      <c r="S173" s="2"/>
      <c r="U173" s="2"/>
      <c r="W173" s="2"/>
      <c r="Y173" s="2"/>
      <c r="AA173" s="2"/>
      <c r="AC173" s="2"/>
      <c r="AE173" s="2"/>
      <c r="AG173" s="2"/>
      <c r="AI173" s="2"/>
      <c r="AK173" s="2"/>
      <c r="AM173" s="2"/>
      <c r="AO173" s="2"/>
      <c r="AQ173" s="2"/>
    </row>
    <row r="174" spans="3:43" ht="12.75" customHeight="1">
      <c r="C174" s="1"/>
      <c r="D174" s="1"/>
      <c r="E174" s="2"/>
      <c r="G174" s="2"/>
      <c r="I174" s="2"/>
      <c r="K174" s="2"/>
      <c r="M174" s="2"/>
      <c r="O174" s="2"/>
      <c r="Q174" s="2"/>
      <c r="S174" s="2"/>
      <c r="U174" s="2"/>
      <c r="W174" s="2"/>
      <c r="Y174" s="2"/>
      <c r="AA174" s="2"/>
      <c r="AC174" s="2"/>
      <c r="AE174" s="2"/>
      <c r="AG174" s="2"/>
      <c r="AI174" s="2"/>
      <c r="AK174" s="2"/>
      <c r="AM174" s="2"/>
      <c r="AO174" s="2"/>
      <c r="AQ174" s="2"/>
    </row>
    <row r="175" spans="3:43" ht="12.75" customHeight="1">
      <c r="C175" s="1"/>
      <c r="D175" s="1"/>
      <c r="E175" s="2"/>
      <c r="G175" s="2"/>
      <c r="I175" s="2"/>
      <c r="K175" s="2"/>
      <c r="M175" s="2"/>
      <c r="O175" s="2"/>
      <c r="Q175" s="2"/>
      <c r="S175" s="2"/>
      <c r="U175" s="2"/>
      <c r="W175" s="2"/>
      <c r="Y175" s="2"/>
      <c r="AA175" s="2"/>
      <c r="AC175" s="2"/>
      <c r="AE175" s="2"/>
      <c r="AG175" s="2"/>
      <c r="AI175" s="2"/>
      <c r="AK175" s="2"/>
      <c r="AM175" s="2"/>
      <c r="AO175" s="2"/>
      <c r="AQ175" s="2"/>
    </row>
    <row r="176" spans="3:43" ht="12.75" customHeight="1">
      <c r="C176" s="1"/>
      <c r="D176" s="1"/>
      <c r="E176" s="2"/>
      <c r="G176" s="2"/>
      <c r="I176" s="2"/>
      <c r="K176" s="2"/>
      <c r="M176" s="2"/>
      <c r="O176" s="2"/>
      <c r="Q176" s="2"/>
      <c r="S176" s="2"/>
      <c r="U176" s="2"/>
      <c r="W176" s="2"/>
      <c r="Y176" s="2"/>
      <c r="AA176" s="2"/>
      <c r="AC176" s="2"/>
      <c r="AE176" s="2"/>
      <c r="AG176" s="2"/>
      <c r="AI176" s="2"/>
      <c r="AK176" s="2"/>
      <c r="AM176" s="2"/>
      <c r="AO176" s="2"/>
      <c r="AQ176" s="2"/>
    </row>
    <row r="177" spans="3:43" ht="12.75" customHeight="1">
      <c r="C177" s="1"/>
      <c r="D177" s="1"/>
      <c r="E177" s="2"/>
      <c r="G177" s="2"/>
      <c r="I177" s="2"/>
      <c r="K177" s="2"/>
      <c r="M177" s="2"/>
      <c r="O177" s="2"/>
      <c r="Q177" s="2"/>
      <c r="S177" s="2"/>
      <c r="U177" s="2"/>
      <c r="W177" s="2"/>
      <c r="Y177" s="2"/>
      <c r="AA177" s="2"/>
      <c r="AC177" s="2"/>
      <c r="AE177" s="2"/>
      <c r="AG177" s="2"/>
      <c r="AI177" s="2"/>
      <c r="AK177" s="2"/>
      <c r="AM177" s="2"/>
      <c r="AO177" s="2"/>
      <c r="AQ177" s="2"/>
    </row>
    <row r="178" spans="3:43" ht="12.75" customHeight="1">
      <c r="C178" s="1"/>
      <c r="D178" s="1"/>
      <c r="E178" s="2"/>
      <c r="G178" s="2"/>
      <c r="I178" s="2"/>
      <c r="K178" s="2"/>
      <c r="M178" s="2"/>
      <c r="O178" s="2"/>
      <c r="Q178" s="2"/>
      <c r="S178" s="2"/>
      <c r="U178" s="2"/>
      <c r="W178" s="2"/>
      <c r="Y178" s="2"/>
      <c r="AA178" s="2"/>
      <c r="AC178" s="2"/>
      <c r="AE178" s="2"/>
      <c r="AG178" s="2"/>
      <c r="AI178" s="2"/>
      <c r="AK178" s="2"/>
      <c r="AM178" s="2"/>
      <c r="AO178" s="2"/>
      <c r="AQ178" s="2"/>
    </row>
    <row r="179" spans="3:43" ht="12.75" customHeight="1">
      <c r="C179" s="1"/>
      <c r="D179" s="1"/>
      <c r="E179" s="2"/>
      <c r="G179" s="2"/>
      <c r="I179" s="2"/>
      <c r="K179" s="2"/>
      <c r="M179" s="2"/>
      <c r="O179" s="2"/>
      <c r="Q179" s="2"/>
      <c r="S179" s="2"/>
      <c r="U179" s="2"/>
      <c r="W179" s="2"/>
      <c r="Y179" s="2"/>
      <c r="AA179" s="2"/>
      <c r="AC179" s="2"/>
      <c r="AE179" s="2"/>
      <c r="AG179" s="2"/>
      <c r="AI179" s="2"/>
      <c r="AK179" s="2"/>
      <c r="AM179" s="2"/>
      <c r="AO179" s="2"/>
      <c r="AQ179" s="2"/>
    </row>
    <row r="180" spans="3:43" ht="12.75" customHeight="1">
      <c r="C180" s="1"/>
      <c r="D180" s="1"/>
      <c r="E180" s="2"/>
      <c r="G180" s="2"/>
      <c r="I180" s="2"/>
      <c r="K180" s="2"/>
      <c r="M180" s="2"/>
      <c r="O180" s="2"/>
      <c r="Q180" s="2"/>
      <c r="S180" s="2"/>
      <c r="U180" s="2"/>
      <c r="W180" s="2"/>
      <c r="Y180" s="2"/>
      <c r="AA180" s="2"/>
      <c r="AC180" s="2"/>
      <c r="AE180" s="2"/>
      <c r="AG180" s="2"/>
      <c r="AI180" s="2"/>
      <c r="AK180" s="2"/>
      <c r="AM180" s="2"/>
      <c r="AO180" s="2"/>
      <c r="AQ180" s="2"/>
    </row>
    <row r="181" spans="3:43" ht="12.75" customHeight="1">
      <c r="C181" s="1"/>
      <c r="D181" s="1"/>
      <c r="E181" s="2"/>
      <c r="G181" s="2"/>
      <c r="I181" s="2"/>
      <c r="K181" s="2"/>
      <c r="M181" s="2"/>
      <c r="O181" s="2"/>
      <c r="Q181" s="2"/>
      <c r="S181" s="2"/>
      <c r="U181" s="2"/>
      <c r="W181" s="2"/>
      <c r="Y181" s="2"/>
      <c r="AA181" s="2"/>
      <c r="AC181" s="2"/>
      <c r="AE181" s="2"/>
      <c r="AG181" s="2"/>
      <c r="AI181" s="2"/>
      <c r="AK181" s="2"/>
      <c r="AM181" s="2"/>
      <c r="AO181" s="2"/>
      <c r="AQ181" s="2"/>
    </row>
    <row r="182" spans="3:43" ht="12.75" customHeight="1">
      <c r="C182" s="1"/>
      <c r="D182" s="1"/>
      <c r="E182" s="2"/>
      <c r="G182" s="2"/>
      <c r="I182" s="2"/>
      <c r="K182" s="2"/>
      <c r="M182" s="2"/>
      <c r="O182" s="2"/>
      <c r="Q182" s="2"/>
      <c r="S182" s="2"/>
      <c r="U182" s="2"/>
      <c r="W182" s="2"/>
      <c r="Y182" s="2"/>
      <c r="AA182" s="2"/>
      <c r="AC182" s="2"/>
      <c r="AE182" s="2"/>
      <c r="AG182" s="2"/>
      <c r="AI182" s="2"/>
      <c r="AK182" s="2"/>
      <c r="AM182" s="2"/>
      <c r="AO182" s="2"/>
      <c r="AQ182" s="2"/>
    </row>
    <row r="183" spans="3:43" ht="12.75" customHeight="1">
      <c r="C183" s="1"/>
      <c r="D183" s="1"/>
      <c r="E183" s="2"/>
      <c r="G183" s="2"/>
      <c r="I183" s="2"/>
      <c r="K183" s="2"/>
      <c r="M183" s="2"/>
      <c r="O183" s="2"/>
      <c r="Q183" s="2"/>
      <c r="S183" s="2"/>
      <c r="U183" s="2"/>
      <c r="W183" s="2"/>
      <c r="Y183" s="2"/>
      <c r="AA183" s="2"/>
      <c r="AC183" s="2"/>
      <c r="AE183" s="2"/>
      <c r="AG183" s="2"/>
      <c r="AI183" s="2"/>
      <c r="AK183" s="2"/>
      <c r="AM183" s="2"/>
      <c r="AO183" s="2"/>
      <c r="AQ183" s="2"/>
    </row>
    <row r="184" spans="3:43" ht="12.75" customHeight="1">
      <c r="C184" s="1"/>
      <c r="D184" s="1"/>
      <c r="E184" s="2"/>
      <c r="G184" s="2"/>
      <c r="I184" s="2"/>
      <c r="K184" s="2"/>
      <c r="M184" s="2"/>
      <c r="O184" s="2"/>
      <c r="Q184" s="2"/>
      <c r="S184" s="2"/>
      <c r="U184" s="2"/>
      <c r="W184" s="2"/>
      <c r="Y184" s="2"/>
      <c r="AA184" s="2"/>
      <c r="AC184" s="2"/>
      <c r="AE184" s="2"/>
      <c r="AG184" s="2"/>
      <c r="AI184" s="2"/>
      <c r="AK184" s="2"/>
      <c r="AM184" s="2"/>
      <c r="AO184" s="2"/>
      <c r="AQ184" s="2"/>
    </row>
    <row r="185" spans="3:43" ht="12.75" customHeight="1">
      <c r="C185" s="1"/>
      <c r="D185" s="1"/>
      <c r="E185" s="2"/>
      <c r="G185" s="2"/>
      <c r="I185" s="2"/>
      <c r="K185" s="2"/>
      <c r="M185" s="2"/>
      <c r="O185" s="2"/>
      <c r="Q185" s="2"/>
      <c r="S185" s="2"/>
      <c r="U185" s="2"/>
      <c r="W185" s="2"/>
      <c r="Y185" s="2"/>
      <c r="AA185" s="2"/>
      <c r="AC185" s="2"/>
      <c r="AE185" s="2"/>
      <c r="AG185" s="2"/>
      <c r="AI185" s="2"/>
      <c r="AK185" s="2"/>
      <c r="AM185" s="2"/>
      <c r="AO185" s="2"/>
      <c r="AQ185" s="2"/>
    </row>
    <row r="186" spans="3:43" ht="12.75" customHeight="1">
      <c r="C186" s="1"/>
      <c r="D186" s="1"/>
      <c r="E186" s="2"/>
      <c r="G186" s="2"/>
      <c r="I186" s="2"/>
      <c r="K186" s="2"/>
      <c r="M186" s="2"/>
      <c r="O186" s="2"/>
      <c r="Q186" s="2"/>
      <c r="S186" s="2"/>
      <c r="U186" s="2"/>
      <c r="W186" s="2"/>
      <c r="Y186" s="2"/>
      <c r="AA186" s="2"/>
      <c r="AC186" s="2"/>
      <c r="AE186" s="2"/>
      <c r="AG186" s="2"/>
      <c r="AI186" s="2"/>
      <c r="AK186" s="2"/>
      <c r="AM186" s="2"/>
      <c r="AO186" s="2"/>
      <c r="AQ186" s="2"/>
    </row>
    <row r="187" spans="3:43" ht="12.75" customHeight="1">
      <c r="C187" s="42"/>
      <c r="D187" s="73"/>
      <c r="E187" s="43"/>
      <c r="G187" s="2"/>
      <c r="I187" s="2"/>
      <c r="K187" s="2"/>
      <c r="M187" s="2"/>
      <c r="O187" s="2"/>
      <c r="Q187" s="2"/>
      <c r="S187" s="2"/>
      <c r="U187" s="2"/>
      <c r="W187" s="2"/>
      <c r="Y187" s="2"/>
      <c r="AA187" s="2"/>
      <c r="AC187" s="2"/>
      <c r="AE187" s="2"/>
      <c r="AG187" s="2"/>
      <c r="AI187" s="2"/>
      <c r="AK187" s="2"/>
      <c r="AM187" s="2"/>
      <c r="AO187" s="2"/>
      <c r="AQ187" s="2"/>
    </row>
    <row r="188" spans="3:43" ht="12.75" customHeight="1">
      <c r="C188" s="42"/>
      <c r="D188" s="73"/>
      <c r="E188" s="43"/>
      <c r="G188" s="2"/>
      <c r="I188" s="2"/>
      <c r="K188" s="2"/>
      <c r="M188" s="2"/>
      <c r="O188" s="2"/>
      <c r="Q188" s="2"/>
      <c r="S188" s="2"/>
      <c r="U188" s="2"/>
      <c r="W188" s="2"/>
      <c r="Y188" s="2"/>
      <c r="AA188" s="2"/>
      <c r="AC188" s="2"/>
      <c r="AE188" s="2"/>
      <c r="AG188" s="2"/>
      <c r="AI188" s="2"/>
      <c r="AK188" s="2"/>
      <c r="AM188" s="2"/>
      <c r="AO188" s="2"/>
      <c r="AQ188" s="2"/>
    </row>
    <row r="189" spans="3:43" ht="12.75" customHeight="1">
      <c r="C189" s="42"/>
      <c r="D189" s="73"/>
      <c r="E189" s="43"/>
      <c r="G189" s="2"/>
      <c r="I189" s="2"/>
      <c r="K189" s="2"/>
      <c r="M189" s="2"/>
      <c r="O189" s="2"/>
      <c r="Q189" s="2"/>
      <c r="S189" s="2"/>
      <c r="U189" s="2"/>
      <c r="W189" s="2"/>
      <c r="Y189" s="2"/>
      <c r="AA189" s="2"/>
      <c r="AC189" s="2"/>
      <c r="AE189" s="2"/>
      <c r="AG189" s="2"/>
      <c r="AI189" s="2"/>
      <c r="AK189" s="2"/>
      <c r="AM189" s="2"/>
      <c r="AO189" s="2"/>
      <c r="AQ189" s="2"/>
    </row>
    <row r="190" spans="3:43" ht="12.75" customHeight="1">
      <c r="C190" s="42"/>
      <c r="D190" s="73"/>
      <c r="E190" s="43"/>
      <c r="G190" s="2"/>
      <c r="I190" s="2"/>
      <c r="K190" s="2"/>
      <c r="M190" s="2"/>
      <c r="O190" s="2"/>
      <c r="Q190" s="2"/>
      <c r="S190" s="2"/>
      <c r="U190" s="2"/>
      <c r="W190" s="2"/>
      <c r="Y190" s="2"/>
      <c r="AA190" s="2"/>
      <c r="AC190" s="2"/>
      <c r="AE190" s="2"/>
      <c r="AG190" s="2"/>
      <c r="AI190" s="2"/>
      <c r="AK190" s="2"/>
      <c r="AM190" s="2"/>
      <c r="AO190" s="2"/>
      <c r="AQ190" s="2"/>
    </row>
    <row r="191" spans="3:43" ht="12.75" customHeight="1">
      <c r="C191" s="42"/>
      <c r="D191" s="73"/>
      <c r="E191" s="43"/>
      <c r="G191" s="2"/>
      <c r="I191" s="2"/>
      <c r="K191" s="2"/>
      <c r="M191" s="2"/>
      <c r="O191" s="2"/>
      <c r="Q191" s="2"/>
      <c r="S191" s="2"/>
      <c r="U191" s="2"/>
      <c r="W191" s="2"/>
      <c r="Y191" s="2"/>
      <c r="AA191" s="2"/>
      <c r="AC191" s="2"/>
      <c r="AE191" s="2"/>
      <c r="AG191" s="2"/>
      <c r="AI191" s="2"/>
      <c r="AK191" s="2"/>
      <c r="AM191" s="2"/>
      <c r="AO191" s="2"/>
      <c r="AQ191" s="2"/>
    </row>
    <row r="192" spans="3:43" ht="12.75" customHeight="1">
      <c r="C192" s="42"/>
      <c r="D192" s="73"/>
      <c r="E192" s="43"/>
      <c r="G192" s="2"/>
      <c r="I192" s="2"/>
      <c r="K192" s="2"/>
      <c r="M192" s="2"/>
      <c r="O192" s="2"/>
      <c r="Q192" s="2"/>
      <c r="S192" s="2"/>
      <c r="U192" s="2"/>
      <c r="W192" s="2"/>
      <c r="Y192" s="2"/>
      <c r="AA192" s="2"/>
      <c r="AC192" s="2"/>
      <c r="AE192" s="2"/>
      <c r="AG192" s="2"/>
      <c r="AI192" s="2"/>
      <c r="AK192" s="2"/>
      <c r="AM192" s="2"/>
      <c r="AO192" s="2"/>
      <c r="AQ192" s="2"/>
    </row>
    <row r="193" spans="3:43" ht="12.75" customHeight="1">
      <c r="C193" s="42"/>
      <c r="D193" s="73"/>
      <c r="E193" s="43"/>
      <c r="G193" s="2"/>
      <c r="I193" s="2"/>
      <c r="K193" s="2"/>
      <c r="M193" s="2"/>
      <c r="O193" s="2"/>
      <c r="Q193" s="2"/>
      <c r="S193" s="2"/>
      <c r="U193" s="2"/>
      <c r="W193" s="2"/>
      <c r="Y193" s="2"/>
      <c r="AA193" s="2"/>
      <c r="AC193" s="2"/>
      <c r="AE193" s="2"/>
      <c r="AG193" s="2"/>
      <c r="AI193" s="2"/>
      <c r="AK193" s="2"/>
      <c r="AM193" s="2"/>
      <c r="AO193" s="2"/>
      <c r="AQ193" s="2"/>
    </row>
    <row r="194" spans="3:43" ht="12.75" customHeight="1">
      <c r="C194" s="42"/>
      <c r="D194" s="73"/>
      <c r="E194" s="43"/>
      <c r="G194" s="2"/>
      <c r="I194" s="2"/>
      <c r="K194" s="2"/>
      <c r="M194" s="2"/>
      <c r="O194" s="2"/>
      <c r="Q194" s="2"/>
      <c r="S194" s="2"/>
      <c r="U194" s="2"/>
      <c r="W194" s="2"/>
      <c r="Y194" s="2"/>
      <c r="AA194" s="2"/>
      <c r="AC194" s="2"/>
      <c r="AE194" s="2"/>
      <c r="AG194" s="2"/>
      <c r="AI194" s="2"/>
      <c r="AK194" s="2"/>
      <c r="AM194" s="2"/>
      <c r="AO194" s="2"/>
      <c r="AQ194" s="2"/>
    </row>
    <row r="195" spans="3:43" ht="12.75" customHeight="1">
      <c r="C195" s="42"/>
      <c r="D195" s="73"/>
      <c r="E195" s="43"/>
      <c r="G195" s="2"/>
      <c r="I195" s="2"/>
      <c r="K195" s="2"/>
      <c r="M195" s="2"/>
      <c r="O195" s="2"/>
      <c r="Q195" s="2"/>
      <c r="S195" s="2"/>
      <c r="U195" s="2"/>
      <c r="W195" s="2"/>
      <c r="Y195" s="2"/>
      <c r="AA195" s="2"/>
      <c r="AC195" s="2"/>
      <c r="AE195" s="2"/>
      <c r="AG195" s="2"/>
      <c r="AI195" s="2"/>
      <c r="AK195" s="2"/>
      <c r="AM195" s="2"/>
      <c r="AO195" s="2"/>
      <c r="AQ195" s="2"/>
    </row>
    <row r="196" spans="3:43" ht="12.75" customHeight="1">
      <c r="C196" s="42"/>
      <c r="D196" s="73"/>
      <c r="E196" s="43"/>
      <c r="G196" s="2"/>
      <c r="I196" s="2"/>
      <c r="K196" s="2"/>
      <c r="M196" s="2"/>
      <c r="O196" s="2"/>
      <c r="Q196" s="2"/>
      <c r="S196" s="2"/>
      <c r="U196" s="2"/>
      <c r="W196" s="2"/>
      <c r="Y196" s="2"/>
      <c r="AA196" s="2"/>
      <c r="AC196" s="2"/>
      <c r="AE196" s="2"/>
      <c r="AG196" s="2"/>
      <c r="AI196" s="2"/>
      <c r="AK196" s="2"/>
      <c r="AM196" s="2"/>
      <c r="AO196" s="2"/>
      <c r="AQ196" s="2"/>
    </row>
    <row r="197" spans="3:43" ht="12.75" customHeight="1">
      <c r="C197" s="42"/>
      <c r="D197" s="73"/>
      <c r="E197" s="43"/>
      <c r="G197" s="2"/>
      <c r="I197" s="2"/>
      <c r="K197" s="2"/>
      <c r="M197" s="2"/>
      <c r="O197" s="2"/>
      <c r="Q197" s="2"/>
      <c r="S197" s="2"/>
      <c r="U197" s="2"/>
      <c r="W197" s="2"/>
      <c r="Y197" s="2"/>
      <c r="AA197" s="2"/>
      <c r="AC197" s="2"/>
      <c r="AE197" s="2"/>
      <c r="AG197" s="2"/>
      <c r="AI197" s="2"/>
      <c r="AK197" s="2"/>
      <c r="AM197" s="2"/>
      <c r="AO197" s="2"/>
      <c r="AQ197" s="2"/>
    </row>
    <row r="198" spans="3:43" ht="12.75" customHeight="1">
      <c r="C198" s="42"/>
      <c r="D198" s="73"/>
      <c r="E198" s="43"/>
      <c r="G198" s="2"/>
      <c r="I198" s="2"/>
      <c r="K198" s="2"/>
      <c r="M198" s="2"/>
      <c r="O198" s="2"/>
      <c r="Q198" s="2"/>
      <c r="S198" s="2"/>
      <c r="U198" s="2"/>
      <c r="W198" s="2"/>
      <c r="Y198" s="2"/>
      <c r="AA198" s="2"/>
      <c r="AC198" s="2"/>
      <c r="AE198" s="2"/>
      <c r="AG198" s="2"/>
      <c r="AI198" s="2"/>
      <c r="AK198" s="2"/>
      <c r="AM198" s="2"/>
      <c r="AO198" s="2"/>
      <c r="AQ198" s="2"/>
    </row>
    <row r="199" spans="3:43" ht="12.75" customHeight="1">
      <c r="C199" s="42"/>
      <c r="D199" s="73"/>
      <c r="E199" s="43"/>
      <c r="G199" s="2"/>
      <c r="I199" s="2"/>
      <c r="K199" s="2"/>
      <c r="M199" s="2"/>
      <c r="O199" s="2"/>
      <c r="Q199" s="2"/>
      <c r="S199" s="2"/>
      <c r="U199" s="2"/>
      <c r="W199" s="2"/>
      <c r="Y199" s="2"/>
      <c r="AA199" s="2"/>
      <c r="AC199" s="2"/>
      <c r="AE199" s="2"/>
      <c r="AG199" s="2"/>
      <c r="AI199" s="2"/>
      <c r="AK199" s="2"/>
      <c r="AM199" s="2"/>
      <c r="AO199" s="2"/>
      <c r="AQ199" s="2"/>
    </row>
    <row r="200" spans="3:43" ht="12.75" customHeight="1">
      <c r="C200" s="42"/>
      <c r="D200" s="73"/>
      <c r="E200" s="43"/>
      <c r="G200" s="2"/>
      <c r="I200" s="2"/>
      <c r="K200" s="2"/>
      <c r="M200" s="2"/>
      <c r="O200" s="2"/>
      <c r="Q200" s="2"/>
      <c r="S200" s="2"/>
      <c r="U200" s="2"/>
      <c r="W200" s="2"/>
      <c r="Y200" s="2"/>
      <c r="AA200" s="2"/>
      <c r="AC200" s="2"/>
      <c r="AE200" s="2"/>
      <c r="AG200" s="2"/>
      <c r="AI200" s="2"/>
      <c r="AK200" s="2"/>
      <c r="AM200" s="2"/>
      <c r="AO200" s="2"/>
      <c r="AQ200" s="2"/>
    </row>
    <row r="201" spans="3:43" ht="12.75" customHeight="1">
      <c r="C201" s="42"/>
      <c r="D201" s="73"/>
      <c r="E201" s="43"/>
      <c r="G201" s="2"/>
      <c r="I201" s="2"/>
      <c r="K201" s="2"/>
      <c r="M201" s="2"/>
      <c r="O201" s="2"/>
      <c r="Q201" s="2"/>
      <c r="S201" s="2"/>
      <c r="U201" s="2"/>
      <c r="W201" s="2"/>
      <c r="Y201" s="2"/>
      <c r="AA201" s="2"/>
      <c r="AC201" s="2"/>
      <c r="AE201" s="2"/>
      <c r="AG201" s="2"/>
      <c r="AI201" s="2"/>
      <c r="AK201" s="2"/>
      <c r="AM201" s="2"/>
      <c r="AO201" s="2"/>
      <c r="AQ201" s="2"/>
    </row>
    <row r="202" spans="3:43" ht="12.75" customHeight="1">
      <c r="C202" s="42"/>
      <c r="D202" s="73"/>
      <c r="E202" s="43"/>
      <c r="G202" s="2"/>
      <c r="I202" s="2"/>
      <c r="K202" s="2"/>
      <c r="M202" s="2"/>
      <c r="O202" s="2"/>
      <c r="Q202" s="2"/>
      <c r="S202" s="2"/>
      <c r="U202" s="2"/>
      <c r="W202" s="2"/>
      <c r="Y202" s="2"/>
      <c r="AA202" s="2"/>
      <c r="AC202" s="2"/>
      <c r="AE202" s="2"/>
      <c r="AG202" s="2"/>
      <c r="AI202" s="2"/>
      <c r="AK202" s="2"/>
      <c r="AM202" s="2"/>
      <c r="AO202" s="2"/>
      <c r="AQ202" s="2"/>
    </row>
    <row r="203" spans="3:43" ht="12.75" customHeight="1">
      <c r="C203" s="42"/>
      <c r="D203" s="73"/>
      <c r="E203" s="43"/>
      <c r="G203" s="2"/>
      <c r="I203" s="2"/>
      <c r="K203" s="2"/>
      <c r="M203" s="2"/>
      <c r="O203" s="2"/>
      <c r="Q203" s="2"/>
      <c r="S203" s="2"/>
      <c r="U203" s="2"/>
      <c r="W203" s="2"/>
      <c r="Y203" s="2"/>
      <c r="AA203" s="2"/>
      <c r="AC203" s="2"/>
      <c r="AE203" s="2"/>
      <c r="AG203" s="2"/>
      <c r="AI203" s="2"/>
      <c r="AK203" s="2"/>
      <c r="AM203" s="2"/>
      <c r="AO203" s="2"/>
      <c r="AQ203" s="2"/>
    </row>
    <row r="204" spans="3:43" ht="12.75" customHeight="1">
      <c r="C204" s="42"/>
      <c r="D204" s="73"/>
      <c r="E204" s="43"/>
      <c r="G204" s="2"/>
      <c r="I204" s="2"/>
      <c r="K204" s="2"/>
      <c r="M204" s="2"/>
      <c r="O204" s="2"/>
      <c r="Q204" s="2"/>
      <c r="S204" s="2"/>
      <c r="U204" s="2"/>
      <c r="W204" s="2"/>
      <c r="Y204" s="2"/>
      <c r="AA204" s="2"/>
      <c r="AC204" s="2"/>
      <c r="AE204" s="2"/>
      <c r="AG204" s="2"/>
      <c r="AI204" s="2"/>
      <c r="AK204" s="2"/>
      <c r="AM204" s="2"/>
      <c r="AO204" s="2"/>
      <c r="AQ204" s="2"/>
    </row>
    <row r="205" spans="3:43" ht="12.75" customHeight="1">
      <c r="C205" s="42"/>
      <c r="D205" s="73"/>
      <c r="E205" s="43"/>
      <c r="G205" s="2"/>
      <c r="I205" s="2"/>
      <c r="K205" s="2"/>
      <c r="M205" s="2"/>
      <c r="O205" s="2"/>
      <c r="Q205" s="2"/>
      <c r="S205" s="2"/>
      <c r="U205" s="2"/>
      <c r="W205" s="2"/>
      <c r="Y205" s="2"/>
      <c r="AA205" s="2"/>
      <c r="AC205" s="2"/>
      <c r="AE205" s="2"/>
      <c r="AG205" s="2"/>
      <c r="AI205" s="2"/>
      <c r="AK205" s="2"/>
      <c r="AM205" s="2"/>
      <c r="AO205" s="2"/>
      <c r="AQ205" s="2"/>
    </row>
    <row r="206" spans="3:43" ht="12.75" customHeight="1">
      <c r="C206" s="42"/>
      <c r="D206" s="73"/>
      <c r="E206" s="43"/>
      <c r="G206" s="2"/>
      <c r="I206" s="2"/>
      <c r="K206" s="2"/>
      <c r="M206" s="2"/>
      <c r="O206" s="2"/>
      <c r="Q206" s="2"/>
      <c r="S206" s="2"/>
      <c r="U206" s="2"/>
      <c r="W206" s="2"/>
      <c r="Y206" s="2"/>
      <c r="AA206" s="2"/>
      <c r="AC206" s="2"/>
      <c r="AE206" s="2"/>
      <c r="AG206" s="2"/>
      <c r="AI206" s="2"/>
      <c r="AK206" s="2"/>
      <c r="AM206" s="2"/>
      <c r="AO206" s="2"/>
      <c r="AQ206" s="2"/>
    </row>
    <row r="207" spans="3:43" ht="12.75" customHeight="1">
      <c r="C207" s="42"/>
      <c r="D207" s="73"/>
      <c r="E207" s="43"/>
      <c r="G207" s="2"/>
      <c r="I207" s="2"/>
      <c r="K207" s="2"/>
      <c r="M207" s="2"/>
      <c r="O207" s="2"/>
      <c r="Q207" s="2"/>
      <c r="S207" s="2"/>
      <c r="U207" s="2"/>
      <c r="W207" s="2"/>
      <c r="Y207" s="2"/>
      <c r="AA207" s="2"/>
      <c r="AC207" s="2"/>
      <c r="AE207" s="2"/>
      <c r="AG207" s="2"/>
      <c r="AI207" s="2"/>
      <c r="AK207" s="2"/>
      <c r="AM207" s="2"/>
      <c r="AO207" s="2"/>
      <c r="AQ207" s="2"/>
    </row>
    <row r="208" spans="3:43" ht="12.75" customHeight="1">
      <c r="C208" s="42"/>
      <c r="D208" s="73"/>
      <c r="E208" s="43"/>
      <c r="G208" s="2"/>
      <c r="I208" s="2"/>
      <c r="K208" s="2"/>
      <c r="M208" s="2"/>
      <c r="O208" s="2"/>
      <c r="Q208" s="2"/>
      <c r="S208" s="2"/>
      <c r="U208" s="2"/>
      <c r="W208" s="2"/>
      <c r="Y208" s="2"/>
      <c r="AA208" s="2"/>
      <c r="AC208" s="2"/>
      <c r="AE208" s="2"/>
      <c r="AG208" s="2"/>
      <c r="AI208" s="2"/>
      <c r="AK208" s="2"/>
      <c r="AM208" s="2"/>
      <c r="AO208" s="2"/>
      <c r="AQ208" s="2"/>
    </row>
    <row r="209" spans="3:43" ht="12.75" customHeight="1">
      <c r="C209" s="42"/>
      <c r="D209" s="73"/>
      <c r="E209" s="43"/>
      <c r="G209" s="2"/>
      <c r="I209" s="2"/>
      <c r="K209" s="2"/>
      <c r="M209" s="2"/>
      <c r="O209" s="2"/>
      <c r="Q209" s="2"/>
      <c r="S209" s="2"/>
      <c r="U209" s="2"/>
      <c r="W209" s="2"/>
      <c r="Y209" s="2"/>
      <c r="AA209" s="2"/>
      <c r="AC209" s="2"/>
      <c r="AE209" s="2"/>
      <c r="AG209" s="2"/>
      <c r="AI209" s="2"/>
      <c r="AK209" s="2"/>
      <c r="AM209" s="2"/>
      <c r="AO209" s="2"/>
      <c r="AQ209" s="2"/>
    </row>
    <row r="210" spans="3:43" ht="12.75" customHeight="1">
      <c r="C210" s="42"/>
      <c r="D210" s="73"/>
      <c r="E210" s="43"/>
      <c r="G210" s="2"/>
      <c r="I210" s="2"/>
      <c r="K210" s="2"/>
      <c r="M210" s="2"/>
      <c r="O210" s="2"/>
      <c r="Q210" s="2"/>
      <c r="S210" s="2"/>
      <c r="U210" s="2"/>
      <c r="W210" s="2"/>
      <c r="Y210" s="2"/>
      <c r="AA210" s="2"/>
      <c r="AC210" s="2"/>
      <c r="AE210" s="2"/>
      <c r="AG210" s="2"/>
      <c r="AI210" s="2"/>
      <c r="AK210" s="2"/>
      <c r="AM210" s="2"/>
      <c r="AO210" s="2"/>
      <c r="AQ210" s="2"/>
    </row>
    <row r="211" spans="3:43" ht="12.75" customHeight="1">
      <c r="C211" s="42"/>
      <c r="D211" s="73"/>
      <c r="E211" s="43"/>
      <c r="G211" s="2"/>
      <c r="I211" s="2"/>
      <c r="K211" s="2"/>
      <c r="M211" s="2"/>
      <c r="O211" s="2"/>
      <c r="Q211" s="2"/>
      <c r="S211" s="2"/>
      <c r="U211" s="2"/>
      <c r="W211" s="2"/>
      <c r="Y211" s="2"/>
      <c r="AA211" s="2"/>
      <c r="AC211" s="2"/>
      <c r="AE211" s="2"/>
      <c r="AG211" s="2"/>
      <c r="AI211" s="2"/>
      <c r="AK211" s="2"/>
      <c r="AM211" s="2"/>
      <c r="AO211" s="2"/>
      <c r="AQ211" s="2"/>
    </row>
    <row r="212" spans="3:43" ht="12.75" customHeight="1">
      <c r="C212" s="42"/>
      <c r="D212" s="73"/>
      <c r="E212" s="43"/>
      <c r="G212" s="2"/>
      <c r="I212" s="2"/>
      <c r="K212" s="2"/>
      <c r="M212" s="2"/>
      <c r="O212" s="2"/>
      <c r="Q212" s="2"/>
      <c r="S212" s="2"/>
      <c r="U212" s="2"/>
      <c r="W212" s="2"/>
      <c r="Y212" s="2"/>
      <c r="AA212" s="2"/>
      <c r="AC212" s="2"/>
      <c r="AE212" s="2"/>
      <c r="AG212" s="2"/>
      <c r="AI212" s="2"/>
      <c r="AK212" s="2"/>
      <c r="AM212" s="2"/>
      <c r="AO212" s="2"/>
      <c r="AQ212" s="2"/>
    </row>
    <row r="213" spans="3:43" ht="12.75" customHeight="1">
      <c r="C213" s="42"/>
      <c r="D213" s="73"/>
      <c r="E213" s="43"/>
      <c r="G213" s="2"/>
      <c r="I213" s="2"/>
      <c r="K213" s="2"/>
      <c r="M213" s="2"/>
      <c r="O213" s="2"/>
      <c r="Q213" s="2"/>
      <c r="S213" s="2"/>
      <c r="U213" s="2"/>
      <c r="W213" s="2"/>
      <c r="Y213" s="2"/>
      <c r="AA213" s="2"/>
      <c r="AC213" s="2"/>
      <c r="AE213" s="2"/>
      <c r="AG213" s="2"/>
      <c r="AI213" s="2"/>
      <c r="AK213" s="2"/>
      <c r="AM213" s="2"/>
      <c r="AO213" s="2"/>
      <c r="AQ213" s="2"/>
    </row>
    <row r="214" spans="3:43" ht="12.75" customHeight="1">
      <c r="C214" s="42"/>
      <c r="D214" s="73"/>
      <c r="E214" s="43"/>
      <c r="G214" s="2"/>
      <c r="I214" s="2"/>
      <c r="K214" s="2"/>
      <c r="M214" s="2"/>
      <c r="O214" s="2"/>
      <c r="Q214" s="2"/>
      <c r="S214" s="2"/>
      <c r="U214" s="2"/>
      <c r="W214" s="2"/>
      <c r="Y214" s="2"/>
      <c r="AA214" s="2"/>
      <c r="AC214" s="2"/>
      <c r="AE214" s="2"/>
      <c r="AG214" s="2"/>
      <c r="AI214" s="2"/>
      <c r="AK214" s="2"/>
      <c r="AM214" s="2"/>
      <c r="AO214" s="2"/>
      <c r="AQ214" s="2"/>
    </row>
    <row r="215" spans="3:43" ht="12.75" customHeight="1">
      <c r="C215" s="42"/>
      <c r="D215" s="73"/>
      <c r="E215" s="43"/>
      <c r="G215" s="2"/>
      <c r="I215" s="2"/>
      <c r="K215" s="2"/>
      <c r="M215" s="2"/>
      <c r="O215" s="2"/>
      <c r="Q215" s="2"/>
      <c r="S215" s="2"/>
      <c r="U215" s="2"/>
      <c r="W215" s="2"/>
      <c r="Y215" s="2"/>
      <c r="AA215" s="2"/>
      <c r="AC215" s="2"/>
      <c r="AE215" s="2"/>
      <c r="AG215" s="2"/>
      <c r="AI215" s="2"/>
      <c r="AK215" s="2"/>
      <c r="AM215" s="2"/>
      <c r="AO215" s="2"/>
      <c r="AQ215" s="2"/>
    </row>
    <row r="216" spans="3:43" ht="12.75" customHeight="1">
      <c r="C216" s="42"/>
      <c r="D216" s="73"/>
      <c r="E216" s="43"/>
      <c r="G216" s="2"/>
      <c r="I216" s="2"/>
      <c r="K216" s="2"/>
      <c r="M216" s="2"/>
      <c r="O216" s="2"/>
      <c r="Q216" s="2"/>
      <c r="S216" s="2"/>
      <c r="U216" s="2"/>
      <c r="W216" s="2"/>
      <c r="Y216" s="2"/>
      <c r="AA216" s="2"/>
      <c r="AC216" s="2"/>
      <c r="AE216" s="2"/>
      <c r="AG216" s="2"/>
      <c r="AI216" s="2"/>
      <c r="AK216" s="2"/>
      <c r="AM216" s="2"/>
      <c r="AO216" s="2"/>
      <c r="AQ216" s="2"/>
    </row>
    <row r="217" spans="3:43" ht="12.75" customHeight="1">
      <c r="C217" s="42"/>
      <c r="D217" s="73"/>
      <c r="E217" s="43"/>
      <c r="G217" s="2"/>
      <c r="I217" s="2"/>
      <c r="K217" s="2"/>
      <c r="M217" s="2"/>
      <c r="O217" s="2"/>
      <c r="Q217" s="2"/>
      <c r="S217" s="2"/>
      <c r="U217" s="2"/>
      <c r="W217" s="2"/>
      <c r="Y217" s="2"/>
      <c r="AA217" s="2"/>
      <c r="AC217" s="2"/>
      <c r="AE217" s="2"/>
      <c r="AG217" s="2"/>
      <c r="AI217" s="2"/>
      <c r="AK217" s="2"/>
      <c r="AM217" s="2"/>
      <c r="AO217" s="2"/>
      <c r="AQ217" s="2"/>
    </row>
    <row r="218" spans="3:43" ht="12.75" customHeight="1">
      <c r="C218" s="42"/>
      <c r="D218" s="73"/>
      <c r="E218" s="43"/>
      <c r="G218" s="2"/>
      <c r="I218" s="2"/>
      <c r="K218" s="2"/>
      <c r="M218" s="2"/>
      <c r="O218" s="2"/>
      <c r="Q218" s="2"/>
      <c r="S218" s="2"/>
      <c r="U218" s="2"/>
      <c r="W218" s="2"/>
      <c r="Y218" s="2"/>
      <c r="AA218" s="2"/>
      <c r="AC218" s="2"/>
      <c r="AE218" s="2"/>
      <c r="AG218" s="2"/>
      <c r="AI218" s="2"/>
      <c r="AK218" s="2"/>
      <c r="AM218" s="2"/>
      <c r="AO218" s="2"/>
      <c r="AQ218" s="2"/>
    </row>
    <row r="219" spans="3:43" ht="12.75" customHeight="1">
      <c r="C219" s="42"/>
      <c r="D219" s="73"/>
      <c r="E219" s="43"/>
      <c r="G219" s="2"/>
      <c r="I219" s="2"/>
      <c r="K219" s="2"/>
      <c r="M219" s="2"/>
      <c r="O219" s="2"/>
      <c r="Q219" s="2"/>
      <c r="S219" s="2"/>
      <c r="U219" s="2"/>
      <c r="W219" s="2"/>
      <c r="Y219" s="2"/>
      <c r="AA219" s="2"/>
      <c r="AC219" s="2"/>
      <c r="AE219" s="2"/>
      <c r="AG219" s="2"/>
      <c r="AI219" s="2"/>
      <c r="AK219" s="2"/>
      <c r="AM219" s="2"/>
      <c r="AO219" s="2"/>
      <c r="AQ219" s="2"/>
    </row>
    <row r="220" spans="3:43" ht="12.75" customHeight="1">
      <c r="C220" s="42"/>
      <c r="D220" s="73"/>
      <c r="E220" s="43"/>
      <c r="G220" s="2"/>
      <c r="I220" s="2"/>
      <c r="K220" s="2"/>
      <c r="M220" s="2"/>
      <c r="O220" s="2"/>
      <c r="Q220" s="2"/>
      <c r="S220" s="2"/>
      <c r="U220" s="2"/>
      <c r="W220" s="2"/>
      <c r="Y220" s="2"/>
      <c r="AA220" s="2"/>
      <c r="AC220" s="2"/>
      <c r="AE220" s="2"/>
      <c r="AG220" s="2"/>
      <c r="AI220" s="2"/>
      <c r="AK220" s="2"/>
      <c r="AM220" s="2"/>
      <c r="AO220" s="2"/>
      <c r="AQ220" s="2"/>
    </row>
    <row r="221" spans="3:43" ht="12.75" customHeight="1">
      <c r="C221" s="42"/>
      <c r="D221" s="73"/>
      <c r="E221" s="43"/>
      <c r="G221" s="2"/>
      <c r="I221" s="2"/>
      <c r="K221" s="2"/>
      <c r="M221" s="2"/>
      <c r="O221" s="2"/>
      <c r="Q221" s="2"/>
      <c r="S221" s="2"/>
      <c r="U221" s="2"/>
      <c r="W221" s="2"/>
      <c r="Y221" s="2"/>
      <c r="AA221" s="2"/>
      <c r="AC221" s="2"/>
      <c r="AE221" s="2"/>
      <c r="AG221" s="2"/>
      <c r="AI221" s="2"/>
      <c r="AK221" s="2"/>
      <c r="AM221" s="2"/>
      <c r="AO221" s="2"/>
      <c r="AQ221" s="2"/>
    </row>
    <row r="222" spans="3:43" ht="12.75" customHeight="1">
      <c r="C222" s="42"/>
      <c r="D222" s="73"/>
      <c r="E222" s="43"/>
      <c r="G222" s="2"/>
      <c r="I222" s="2"/>
      <c r="K222" s="2"/>
      <c r="M222" s="2"/>
      <c r="O222" s="2"/>
      <c r="Q222" s="2"/>
      <c r="S222" s="2"/>
      <c r="U222" s="2"/>
      <c r="W222" s="2"/>
      <c r="Y222" s="2"/>
      <c r="AA222" s="2"/>
      <c r="AC222" s="2"/>
      <c r="AE222" s="2"/>
      <c r="AG222" s="2"/>
      <c r="AI222" s="2"/>
      <c r="AK222" s="2"/>
      <c r="AM222" s="2"/>
      <c r="AO222" s="2"/>
      <c r="AQ222" s="2"/>
    </row>
    <row r="223" spans="3:43" ht="12.75" customHeight="1">
      <c r="C223" s="42"/>
      <c r="D223" s="73"/>
      <c r="E223" s="43"/>
      <c r="G223" s="2"/>
      <c r="I223" s="2"/>
      <c r="K223" s="2"/>
      <c r="M223" s="2"/>
      <c r="O223" s="2"/>
      <c r="Q223" s="2"/>
      <c r="S223" s="2"/>
      <c r="U223" s="2"/>
      <c r="W223" s="2"/>
      <c r="Y223" s="2"/>
      <c r="AA223" s="2"/>
      <c r="AC223" s="2"/>
      <c r="AE223" s="2"/>
      <c r="AG223" s="2"/>
      <c r="AI223" s="2"/>
      <c r="AK223" s="2"/>
      <c r="AM223" s="2"/>
      <c r="AO223" s="2"/>
      <c r="AQ223" s="2"/>
    </row>
    <row r="224" spans="3:43" ht="12.75" customHeight="1">
      <c r="C224" s="42"/>
      <c r="D224" s="73"/>
      <c r="E224" s="43"/>
      <c r="G224" s="2"/>
      <c r="I224" s="2"/>
      <c r="K224" s="2"/>
      <c r="M224" s="2"/>
      <c r="O224" s="2"/>
      <c r="Q224" s="2"/>
      <c r="S224" s="2"/>
      <c r="U224" s="2"/>
      <c r="W224" s="2"/>
      <c r="Y224" s="2"/>
      <c r="AA224" s="2"/>
      <c r="AC224" s="2"/>
      <c r="AE224" s="2"/>
      <c r="AG224" s="2"/>
      <c r="AI224" s="2"/>
      <c r="AK224" s="2"/>
      <c r="AM224" s="2"/>
      <c r="AO224" s="2"/>
      <c r="AQ224" s="2"/>
    </row>
    <row r="225" spans="1:44" ht="12.75" customHeight="1">
      <c r="C225" s="42"/>
      <c r="D225" s="73"/>
      <c r="E225" s="43"/>
      <c r="G225" s="2"/>
      <c r="I225" s="2"/>
      <c r="K225" s="2"/>
      <c r="M225" s="2"/>
      <c r="O225" s="2"/>
      <c r="Q225" s="2"/>
      <c r="S225" s="2"/>
      <c r="U225" s="2"/>
      <c r="W225" s="2"/>
      <c r="Y225" s="2"/>
      <c r="AA225" s="2"/>
      <c r="AC225" s="2"/>
      <c r="AE225" s="2"/>
      <c r="AG225" s="2"/>
      <c r="AI225" s="2"/>
      <c r="AK225" s="2"/>
      <c r="AM225" s="2"/>
      <c r="AO225" s="2"/>
      <c r="AQ225" s="2"/>
    </row>
    <row r="226" spans="1:44" ht="12.75" customHeight="1">
      <c r="A226" s="24"/>
      <c r="C226" s="42"/>
      <c r="D226" s="73"/>
      <c r="E226" s="43"/>
      <c r="G226" s="2"/>
      <c r="I226" s="2"/>
      <c r="K226" s="2"/>
      <c r="M226" s="2"/>
      <c r="O226" s="2"/>
      <c r="Q226" s="2"/>
      <c r="S226" s="2"/>
      <c r="U226" s="2"/>
      <c r="W226" s="2"/>
      <c r="Y226" s="2"/>
      <c r="AA226" s="2"/>
      <c r="AC226" s="2"/>
      <c r="AE226" s="2"/>
      <c r="AG226" s="2"/>
      <c r="AI226" s="2"/>
      <c r="AK226" s="2"/>
      <c r="AM226" s="2"/>
      <c r="AO226" s="2"/>
      <c r="AQ226" s="2"/>
    </row>
    <row r="227" spans="1:44" ht="12.75" customHeight="1">
      <c r="A227" s="24"/>
      <c r="C227" s="42"/>
      <c r="D227" s="73"/>
      <c r="E227" s="43"/>
      <c r="G227" s="2"/>
      <c r="I227" s="2"/>
      <c r="K227" s="2"/>
      <c r="M227" s="2"/>
      <c r="O227" s="2"/>
      <c r="Q227" s="2"/>
      <c r="S227" s="2"/>
      <c r="U227" s="2"/>
      <c r="W227" s="2"/>
      <c r="Y227" s="2"/>
      <c r="AA227" s="2"/>
      <c r="AC227" s="2"/>
      <c r="AE227" s="2"/>
      <c r="AG227" s="2"/>
      <c r="AI227" s="2"/>
      <c r="AK227" s="2"/>
      <c r="AM227" s="2"/>
      <c r="AO227" s="2"/>
      <c r="AQ227" s="2"/>
    </row>
    <row r="228" spans="1:44" ht="12.75" customHeight="1">
      <c r="A228" s="24"/>
      <c r="C228" s="42"/>
      <c r="D228" s="73"/>
      <c r="E228" s="43"/>
      <c r="G228" s="2"/>
      <c r="I228" s="2"/>
      <c r="K228" s="2"/>
      <c r="M228" s="2"/>
      <c r="O228" s="2"/>
      <c r="Q228" s="2"/>
      <c r="S228" s="2"/>
      <c r="U228" s="2"/>
      <c r="W228" s="2"/>
      <c r="Y228" s="2"/>
      <c r="AA228" s="2"/>
      <c r="AC228" s="2"/>
      <c r="AE228" s="2"/>
      <c r="AG228" s="2"/>
      <c r="AI228" s="2"/>
      <c r="AK228" s="2"/>
      <c r="AM228" s="2"/>
      <c r="AO228" s="2"/>
      <c r="AQ228" s="2"/>
    </row>
    <row r="229" spans="1:44" ht="12.75" customHeight="1">
      <c r="A229" s="24"/>
      <c r="C229" s="42"/>
      <c r="D229" s="73"/>
      <c r="E229" s="43"/>
      <c r="G229" s="2"/>
      <c r="I229" s="2"/>
      <c r="K229" s="2"/>
      <c r="M229" s="2"/>
      <c r="O229" s="2"/>
      <c r="Q229" s="2"/>
      <c r="S229" s="2"/>
      <c r="U229" s="2"/>
      <c r="W229" s="2"/>
      <c r="Y229" s="2"/>
      <c r="AA229" s="2"/>
      <c r="AC229" s="2"/>
      <c r="AE229" s="2"/>
      <c r="AG229" s="2"/>
      <c r="AI229" s="2"/>
      <c r="AK229" s="2"/>
      <c r="AM229" s="2"/>
      <c r="AO229" s="2"/>
      <c r="AQ229" s="2"/>
    </row>
    <row r="230" spans="1:44" ht="12.75" customHeight="1">
      <c r="A230" s="24"/>
      <c r="C230" s="42"/>
      <c r="D230" s="73"/>
      <c r="E230" s="43"/>
      <c r="G230" s="2"/>
      <c r="I230" s="2"/>
      <c r="K230" s="2"/>
      <c r="M230" s="2"/>
      <c r="O230" s="2"/>
      <c r="Q230" s="2"/>
      <c r="S230" s="2"/>
      <c r="U230" s="2"/>
      <c r="W230" s="2"/>
      <c r="Y230" s="2"/>
      <c r="AA230" s="2"/>
      <c r="AC230" s="2"/>
      <c r="AE230" s="2"/>
      <c r="AG230" s="2"/>
      <c r="AI230" s="2"/>
      <c r="AK230" s="2"/>
      <c r="AM230" s="2"/>
      <c r="AO230" s="2"/>
      <c r="AQ230" s="2"/>
    </row>
    <row r="231" spans="1:44" ht="12.75" customHeight="1">
      <c r="A231" s="24"/>
      <c r="C231" s="42"/>
      <c r="D231" s="73"/>
      <c r="E231" s="43"/>
      <c r="G231" s="2"/>
      <c r="I231" s="2"/>
      <c r="K231" s="2"/>
      <c r="M231" s="2"/>
      <c r="O231" s="2"/>
      <c r="Q231" s="2"/>
      <c r="S231" s="2"/>
      <c r="U231" s="2"/>
      <c r="W231" s="2"/>
      <c r="Y231" s="2"/>
      <c r="AA231" s="2"/>
      <c r="AC231" s="2"/>
      <c r="AE231" s="2"/>
      <c r="AG231" s="2"/>
      <c r="AI231" s="2"/>
      <c r="AK231" s="2"/>
      <c r="AM231" s="2"/>
      <c r="AO231" s="2"/>
      <c r="AQ231" s="2"/>
    </row>
    <row r="232" spans="1:44" ht="12.75" customHeight="1">
      <c r="A232" s="24"/>
      <c r="C232" s="42"/>
      <c r="D232" s="73"/>
      <c r="E232" s="43"/>
      <c r="G232" s="2"/>
      <c r="I232" s="2"/>
      <c r="K232" s="2"/>
      <c r="M232" s="2"/>
      <c r="O232" s="2"/>
      <c r="Q232" s="2"/>
      <c r="S232" s="2"/>
      <c r="U232" s="2"/>
      <c r="W232" s="2"/>
      <c r="Y232" s="2"/>
      <c r="AA232" s="2"/>
      <c r="AC232" s="2"/>
      <c r="AE232" s="2"/>
      <c r="AG232" s="2"/>
      <c r="AI232" s="2"/>
      <c r="AK232" s="2"/>
      <c r="AM232" s="2"/>
      <c r="AO232" s="2"/>
      <c r="AQ232" s="2"/>
    </row>
    <row r="233" spans="1:44" ht="12.75" customHeight="1">
      <c r="A233" s="24"/>
      <c r="C233" s="42"/>
      <c r="D233" s="73"/>
      <c r="E233" s="43"/>
      <c r="G233" s="2"/>
      <c r="I233" s="2"/>
      <c r="K233" s="2"/>
      <c r="M233" s="2"/>
      <c r="O233" s="2"/>
      <c r="Q233" s="2"/>
      <c r="S233" s="2"/>
      <c r="U233" s="2"/>
      <c r="W233" s="2"/>
      <c r="Y233" s="2"/>
      <c r="AA233" s="2"/>
      <c r="AC233" s="2"/>
      <c r="AE233" s="2"/>
      <c r="AG233" s="2"/>
      <c r="AI233" s="2"/>
      <c r="AK233" s="2"/>
      <c r="AM233" s="2"/>
      <c r="AO233" s="2"/>
      <c r="AQ233" s="2"/>
    </row>
    <row r="234" spans="1:44" ht="12.75" customHeight="1">
      <c r="A234" s="24"/>
      <c r="C234" s="42"/>
      <c r="D234" s="73"/>
      <c r="E234" s="43"/>
      <c r="G234" s="2"/>
      <c r="I234" s="2"/>
      <c r="K234" s="2"/>
      <c r="M234" s="2"/>
      <c r="O234" s="2"/>
      <c r="Q234" s="2"/>
      <c r="S234" s="2"/>
      <c r="U234" s="2"/>
      <c r="W234" s="2"/>
      <c r="Y234" s="2"/>
      <c r="AA234" s="2"/>
      <c r="AC234" s="2"/>
      <c r="AE234" s="2"/>
      <c r="AG234" s="2"/>
      <c r="AI234" s="2"/>
      <c r="AK234" s="2"/>
      <c r="AM234" s="2"/>
      <c r="AO234" s="2"/>
      <c r="AQ234" s="2"/>
    </row>
    <row r="235" spans="1:44" ht="12.75" customHeight="1">
      <c r="A235" s="24"/>
      <c r="C235" s="42"/>
      <c r="D235" s="73"/>
      <c r="E235" s="43"/>
      <c r="G235" s="2"/>
      <c r="I235" s="2"/>
      <c r="K235" s="2"/>
      <c r="M235" s="2"/>
      <c r="O235" s="2"/>
      <c r="Q235" s="2"/>
      <c r="S235" s="2"/>
      <c r="U235" s="2"/>
      <c r="W235" s="2"/>
      <c r="Y235" s="2"/>
      <c r="AA235" s="2"/>
      <c r="AC235" s="2"/>
      <c r="AE235" s="2"/>
      <c r="AG235" s="2"/>
      <c r="AI235" s="2"/>
      <c r="AK235" s="2"/>
      <c r="AM235" s="2"/>
      <c r="AO235" s="2"/>
      <c r="AQ235" s="2"/>
    </row>
    <row r="236" spans="1:44" ht="12.75" customHeight="1">
      <c r="A236" s="24"/>
      <c r="C236" s="42"/>
      <c r="D236" s="73"/>
      <c r="E236" s="43"/>
      <c r="G236" s="2"/>
      <c r="I236" s="2"/>
      <c r="K236" s="2"/>
      <c r="M236" s="2"/>
      <c r="O236" s="2"/>
      <c r="Q236" s="2"/>
      <c r="S236" s="2"/>
      <c r="U236" s="2"/>
      <c r="W236" s="2"/>
      <c r="Y236" s="2"/>
      <c r="AA236" s="2"/>
      <c r="AC236" s="2"/>
      <c r="AE236" s="2"/>
      <c r="AG236" s="2"/>
      <c r="AI236" s="2"/>
      <c r="AK236" s="2"/>
      <c r="AM236" s="2"/>
      <c r="AO236" s="2"/>
      <c r="AQ236" s="2"/>
    </row>
    <row r="237" spans="1:44" ht="12.75" customHeight="1">
      <c r="A237" s="24"/>
      <c r="C237" s="42"/>
      <c r="D237" s="73"/>
      <c r="E237" s="43"/>
      <c r="F237" s="44"/>
      <c r="G237" s="2"/>
      <c r="H237" s="44"/>
      <c r="I237" s="2"/>
      <c r="J237" s="44"/>
      <c r="K237" s="2"/>
      <c r="L237" s="44"/>
      <c r="M237" s="2"/>
      <c r="N237" s="44"/>
      <c r="O237" s="2"/>
      <c r="P237" s="44"/>
      <c r="Q237" s="2"/>
      <c r="R237" s="44"/>
      <c r="S237" s="2"/>
      <c r="T237" s="44"/>
      <c r="U237" s="2"/>
      <c r="V237" s="44"/>
      <c r="W237" s="2"/>
      <c r="X237" s="44"/>
      <c r="Y237" s="2"/>
      <c r="Z237" s="44"/>
      <c r="AA237" s="2"/>
      <c r="AB237" s="44"/>
      <c r="AC237" s="2"/>
      <c r="AD237" s="44"/>
      <c r="AE237" s="2"/>
      <c r="AF237" s="44"/>
      <c r="AG237" s="2"/>
      <c r="AH237" s="44"/>
      <c r="AI237" s="2"/>
      <c r="AJ237" s="44"/>
      <c r="AK237" s="2"/>
      <c r="AL237" s="44"/>
      <c r="AM237" s="2"/>
      <c r="AN237" s="44"/>
      <c r="AO237" s="2"/>
      <c r="AP237" s="44"/>
      <c r="AQ237" s="2"/>
      <c r="AR237" s="44"/>
    </row>
    <row r="238" spans="1:44" ht="12.75" customHeight="1">
      <c r="A238" s="24"/>
      <c r="C238" s="42"/>
      <c r="D238" s="73"/>
      <c r="E238" s="43"/>
      <c r="F238" s="44"/>
      <c r="G238" s="2"/>
      <c r="H238" s="44"/>
      <c r="I238" s="2"/>
      <c r="J238" s="44"/>
      <c r="K238" s="2"/>
      <c r="L238" s="44"/>
      <c r="M238" s="2"/>
      <c r="N238" s="44"/>
      <c r="O238" s="2"/>
      <c r="P238" s="44"/>
      <c r="Q238" s="2"/>
      <c r="R238" s="44"/>
      <c r="S238" s="2"/>
      <c r="T238" s="44"/>
      <c r="U238" s="2"/>
      <c r="V238" s="44"/>
      <c r="W238" s="2"/>
      <c r="X238" s="44"/>
      <c r="Y238" s="2"/>
      <c r="Z238" s="44"/>
      <c r="AA238" s="2"/>
      <c r="AB238" s="44"/>
      <c r="AC238" s="2"/>
      <c r="AD238" s="44"/>
      <c r="AE238" s="2"/>
      <c r="AF238" s="44"/>
      <c r="AG238" s="2"/>
      <c r="AH238" s="44"/>
      <c r="AI238" s="2"/>
      <c r="AJ238" s="44"/>
      <c r="AK238" s="2"/>
      <c r="AL238" s="44"/>
      <c r="AM238" s="2"/>
      <c r="AN238" s="44"/>
      <c r="AO238" s="2"/>
      <c r="AP238" s="44"/>
      <c r="AQ238" s="2"/>
      <c r="AR238" s="44"/>
    </row>
    <row r="239" spans="1:44" ht="12.75" customHeight="1">
      <c r="A239" s="24"/>
      <c r="C239" s="42"/>
      <c r="D239" s="73"/>
      <c r="E239" s="43"/>
      <c r="F239" s="44"/>
      <c r="G239" s="2"/>
      <c r="H239" s="44"/>
      <c r="I239" s="2"/>
      <c r="J239" s="44"/>
      <c r="K239" s="2"/>
      <c r="L239" s="44"/>
      <c r="M239" s="2"/>
      <c r="N239" s="44"/>
      <c r="O239" s="2"/>
      <c r="P239" s="44"/>
      <c r="Q239" s="2"/>
      <c r="R239" s="44"/>
      <c r="S239" s="2"/>
      <c r="T239" s="44"/>
      <c r="U239" s="2"/>
      <c r="V239" s="44"/>
      <c r="W239" s="2"/>
      <c r="X239" s="44"/>
      <c r="Y239" s="2"/>
      <c r="Z239" s="44"/>
      <c r="AA239" s="2"/>
      <c r="AB239" s="44"/>
      <c r="AC239" s="2"/>
      <c r="AD239" s="44"/>
      <c r="AE239" s="2"/>
      <c r="AF239" s="44"/>
      <c r="AG239" s="2"/>
      <c r="AH239" s="44"/>
      <c r="AI239" s="2"/>
      <c r="AJ239" s="44"/>
      <c r="AK239" s="2"/>
      <c r="AL239" s="44"/>
      <c r="AM239" s="2"/>
      <c r="AN239" s="44"/>
      <c r="AO239" s="2"/>
      <c r="AP239" s="44"/>
      <c r="AQ239" s="2"/>
      <c r="AR239" s="44"/>
    </row>
    <row r="240" spans="1:44" ht="12.75" customHeight="1">
      <c r="A240" s="24"/>
      <c r="C240" s="42"/>
      <c r="D240" s="73"/>
      <c r="E240" s="43"/>
      <c r="F240" s="44"/>
      <c r="G240" s="2"/>
      <c r="H240" s="44"/>
      <c r="I240" s="2"/>
      <c r="J240" s="44"/>
      <c r="K240" s="2"/>
      <c r="L240" s="44"/>
      <c r="M240" s="2"/>
      <c r="N240" s="44"/>
      <c r="O240" s="2"/>
      <c r="P240" s="44"/>
      <c r="Q240" s="2"/>
      <c r="R240" s="44"/>
      <c r="S240" s="2"/>
      <c r="T240" s="44"/>
      <c r="U240" s="2"/>
      <c r="V240" s="44"/>
      <c r="W240" s="2"/>
      <c r="X240" s="44"/>
      <c r="Y240" s="2"/>
      <c r="Z240" s="44"/>
      <c r="AA240" s="2"/>
      <c r="AB240" s="44"/>
      <c r="AC240" s="2"/>
      <c r="AD240" s="44"/>
      <c r="AE240" s="2"/>
      <c r="AF240" s="44"/>
      <c r="AG240" s="2"/>
      <c r="AH240" s="44"/>
      <c r="AI240" s="2"/>
      <c r="AJ240" s="44"/>
      <c r="AK240" s="2"/>
      <c r="AL240" s="44"/>
      <c r="AM240" s="2"/>
      <c r="AN240" s="44"/>
      <c r="AO240" s="2"/>
      <c r="AP240" s="44"/>
      <c r="AQ240" s="2"/>
      <c r="AR240" s="44"/>
    </row>
    <row r="241" spans="1:44" ht="12.75" customHeight="1">
      <c r="A241" s="24"/>
      <c r="C241" s="42"/>
      <c r="D241" s="73"/>
      <c r="E241" s="43"/>
      <c r="F241" s="44"/>
      <c r="G241" s="2"/>
      <c r="H241" s="44"/>
      <c r="I241" s="2"/>
      <c r="J241" s="44"/>
      <c r="K241" s="2"/>
      <c r="L241" s="44"/>
      <c r="M241" s="2"/>
      <c r="N241" s="44"/>
      <c r="O241" s="2"/>
      <c r="P241" s="44"/>
      <c r="Q241" s="2"/>
      <c r="R241" s="44"/>
      <c r="S241" s="2"/>
      <c r="T241" s="44"/>
      <c r="U241" s="2"/>
      <c r="V241" s="44"/>
      <c r="W241" s="2"/>
      <c r="X241" s="44"/>
      <c r="Y241" s="2"/>
      <c r="Z241" s="44"/>
      <c r="AA241" s="2"/>
      <c r="AB241" s="44"/>
      <c r="AC241" s="2"/>
      <c r="AD241" s="44"/>
      <c r="AE241" s="2"/>
      <c r="AF241" s="44"/>
      <c r="AG241" s="2"/>
      <c r="AH241" s="44"/>
      <c r="AI241" s="2"/>
      <c r="AJ241" s="44"/>
      <c r="AK241" s="2"/>
      <c r="AL241" s="44"/>
      <c r="AM241" s="2"/>
      <c r="AN241" s="44"/>
      <c r="AO241" s="2"/>
      <c r="AP241" s="44"/>
      <c r="AQ241" s="2"/>
      <c r="AR241" s="44"/>
    </row>
    <row r="242" spans="1:44" ht="12.75" customHeight="1">
      <c r="A242" s="24"/>
      <c r="C242" s="42"/>
      <c r="D242" s="73"/>
      <c r="E242" s="45"/>
      <c r="F242" s="44"/>
      <c r="G242" s="45"/>
      <c r="I242" s="45"/>
      <c r="K242" s="45"/>
      <c r="M242" s="45"/>
      <c r="O242" s="45"/>
      <c r="Q242" s="45"/>
      <c r="S242" s="45"/>
      <c r="U242" s="45"/>
      <c r="W242" s="45"/>
      <c r="Y242" s="45"/>
      <c r="AA242" s="45"/>
      <c r="AC242" s="45"/>
      <c r="AE242" s="45"/>
      <c r="AG242" s="45"/>
      <c r="AI242" s="45"/>
      <c r="AK242" s="45"/>
      <c r="AM242" s="45"/>
      <c r="AO242" s="45"/>
      <c r="AQ242" s="45"/>
    </row>
    <row r="243" spans="1:44" ht="12.75" customHeight="1">
      <c r="A243" s="24"/>
      <c r="C243" s="42"/>
      <c r="D243" s="73"/>
      <c r="E243" s="45"/>
      <c r="F243" s="44"/>
      <c r="G243" s="45"/>
      <c r="I243" s="45"/>
      <c r="K243" s="45"/>
      <c r="M243" s="45"/>
      <c r="O243" s="45"/>
      <c r="Q243" s="45"/>
      <c r="S243" s="45"/>
      <c r="U243" s="45"/>
      <c r="W243" s="45"/>
      <c r="Y243" s="45"/>
      <c r="AA243" s="45"/>
      <c r="AC243" s="45"/>
      <c r="AE243" s="45"/>
      <c r="AG243" s="45"/>
      <c r="AI243" s="45"/>
      <c r="AK243" s="45"/>
      <c r="AM243" s="45"/>
      <c r="AO243" s="45"/>
      <c r="AQ243" s="45"/>
    </row>
    <row r="244" spans="1:44" ht="12.75" customHeight="1">
      <c r="A244" s="24"/>
      <c r="C244" s="42"/>
      <c r="D244" s="73"/>
      <c r="E244" s="45"/>
      <c r="F244" s="44"/>
      <c r="G244" s="45"/>
      <c r="I244" s="45"/>
      <c r="K244" s="45"/>
      <c r="M244" s="45"/>
      <c r="O244" s="45"/>
      <c r="Q244" s="45"/>
      <c r="S244" s="45"/>
      <c r="U244" s="45"/>
      <c r="W244" s="45"/>
      <c r="Y244" s="45"/>
      <c r="AA244" s="45"/>
      <c r="AC244" s="45"/>
      <c r="AE244" s="45"/>
      <c r="AG244" s="45"/>
      <c r="AI244" s="45"/>
      <c r="AK244" s="45"/>
      <c r="AM244" s="45"/>
      <c r="AO244" s="45"/>
      <c r="AQ244" s="45"/>
    </row>
    <row r="245" spans="1:44" ht="12.75" customHeight="1">
      <c r="A245" s="24"/>
      <c r="C245" s="42"/>
      <c r="D245" s="73"/>
      <c r="E245" s="45"/>
      <c r="F245" s="44"/>
      <c r="G245" s="45"/>
      <c r="I245" s="45"/>
      <c r="K245" s="45"/>
      <c r="M245" s="45"/>
      <c r="O245" s="45"/>
      <c r="Q245" s="45"/>
      <c r="S245" s="45"/>
      <c r="U245" s="45"/>
      <c r="W245" s="45"/>
      <c r="Y245" s="45"/>
      <c r="AA245" s="45"/>
      <c r="AC245" s="45"/>
      <c r="AE245" s="45"/>
      <c r="AG245" s="45"/>
      <c r="AI245" s="45"/>
      <c r="AK245" s="45"/>
      <c r="AM245" s="45"/>
      <c r="AO245" s="45"/>
      <c r="AQ245" s="45"/>
    </row>
    <row r="246" spans="1:44" ht="12.75" customHeight="1">
      <c r="A246" s="24"/>
      <c r="C246" s="42"/>
      <c r="D246" s="73"/>
      <c r="E246" s="45"/>
      <c r="F246" s="44"/>
      <c r="G246" s="45"/>
      <c r="I246" s="45"/>
      <c r="K246" s="45"/>
      <c r="M246" s="45"/>
      <c r="O246" s="45"/>
      <c r="Q246" s="45"/>
      <c r="S246" s="45"/>
      <c r="U246" s="45"/>
      <c r="W246" s="45"/>
      <c r="Y246" s="45"/>
      <c r="AA246" s="45"/>
      <c r="AC246" s="45"/>
      <c r="AE246" s="45"/>
      <c r="AG246" s="45"/>
      <c r="AI246" s="45"/>
      <c r="AK246" s="45"/>
      <c r="AM246" s="45"/>
      <c r="AO246" s="45"/>
      <c r="AQ246" s="45"/>
    </row>
    <row r="247" spans="1:44" ht="12.75" customHeight="1">
      <c r="A247" s="24"/>
      <c r="C247" s="42"/>
      <c r="D247" s="73"/>
      <c r="E247" s="45"/>
      <c r="F247" s="44"/>
      <c r="G247" s="45"/>
      <c r="I247" s="45"/>
      <c r="K247" s="45"/>
      <c r="M247" s="45"/>
      <c r="O247" s="45"/>
      <c r="Q247" s="45"/>
      <c r="S247" s="45"/>
      <c r="U247" s="45"/>
      <c r="W247" s="45"/>
      <c r="Y247" s="45"/>
      <c r="AA247" s="45"/>
      <c r="AC247" s="45"/>
      <c r="AE247" s="45"/>
      <c r="AG247" s="45"/>
      <c r="AI247" s="45"/>
      <c r="AK247" s="45"/>
      <c r="AM247" s="45"/>
      <c r="AO247" s="45"/>
      <c r="AQ247" s="45"/>
    </row>
    <row r="248" spans="1:44" ht="12.75" customHeight="1">
      <c r="A248" s="24"/>
      <c r="C248" s="42"/>
      <c r="D248" s="73"/>
      <c r="E248" s="45"/>
      <c r="F248" s="44"/>
      <c r="G248" s="45"/>
      <c r="I248" s="45"/>
      <c r="K248" s="45"/>
      <c r="M248" s="45"/>
      <c r="O248" s="45"/>
      <c r="Q248" s="45"/>
      <c r="S248" s="45"/>
      <c r="U248" s="45"/>
      <c r="W248" s="45"/>
      <c r="Y248" s="45"/>
      <c r="AA248" s="45"/>
      <c r="AC248" s="45"/>
      <c r="AE248" s="45"/>
      <c r="AG248" s="45"/>
      <c r="AI248" s="45"/>
      <c r="AK248" s="45"/>
      <c r="AM248" s="45"/>
      <c r="AO248" s="45"/>
      <c r="AQ248" s="45"/>
    </row>
    <row r="249" spans="1:44" ht="12.75" customHeight="1">
      <c r="A249" s="24"/>
      <c r="C249" s="42"/>
      <c r="D249" s="73"/>
      <c r="E249" s="45"/>
      <c r="F249" s="44"/>
      <c r="G249" s="45"/>
      <c r="I249" s="45"/>
      <c r="K249" s="45"/>
      <c r="M249" s="45"/>
      <c r="O249" s="45"/>
      <c r="Q249" s="45"/>
      <c r="S249" s="45"/>
      <c r="U249" s="45"/>
      <c r="W249" s="45"/>
      <c r="Y249" s="45"/>
      <c r="AA249" s="45"/>
      <c r="AC249" s="45"/>
      <c r="AE249" s="45"/>
      <c r="AG249" s="45"/>
      <c r="AI249" s="45"/>
      <c r="AK249" s="45"/>
      <c r="AM249" s="45"/>
      <c r="AO249" s="45"/>
      <c r="AQ249" s="45"/>
    </row>
    <row r="250" spans="1:44" ht="12.75" customHeight="1">
      <c r="A250" s="24"/>
      <c r="C250" s="42"/>
      <c r="D250" s="73"/>
      <c r="E250" s="45"/>
      <c r="F250" s="44"/>
      <c r="G250" s="45"/>
      <c r="I250" s="45"/>
      <c r="K250" s="45"/>
      <c r="M250" s="45"/>
      <c r="O250" s="45"/>
      <c r="Q250" s="45"/>
      <c r="S250" s="45"/>
      <c r="U250" s="45"/>
      <c r="W250" s="45"/>
      <c r="Y250" s="45"/>
      <c r="AA250" s="45"/>
      <c r="AC250" s="45"/>
      <c r="AE250" s="45"/>
      <c r="AG250" s="45"/>
      <c r="AI250" s="45"/>
      <c r="AK250" s="45"/>
      <c r="AM250" s="45"/>
      <c r="AO250" s="45"/>
      <c r="AQ250" s="45"/>
    </row>
    <row r="251" spans="1:44" ht="12.75" customHeight="1">
      <c r="A251" s="24"/>
      <c r="C251" s="42"/>
      <c r="D251" s="73"/>
      <c r="E251" s="45"/>
      <c r="F251" s="44"/>
      <c r="G251" s="45"/>
      <c r="I251" s="45"/>
      <c r="K251" s="45"/>
      <c r="M251" s="45"/>
      <c r="O251" s="45"/>
      <c r="Q251" s="45"/>
      <c r="S251" s="45"/>
      <c r="U251" s="45"/>
      <c r="W251" s="45"/>
      <c r="Y251" s="45"/>
      <c r="AA251" s="45"/>
      <c r="AC251" s="45"/>
      <c r="AE251" s="45"/>
      <c r="AG251" s="45"/>
      <c r="AI251" s="45"/>
      <c r="AK251" s="45"/>
      <c r="AM251" s="45"/>
      <c r="AO251" s="45"/>
      <c r="AQ251" s="45"/>
    </row>
    <row r="252" spans="1:44" ht="12.75" customHeight="1">
      <c r="A252" s="24"/>
      <c r="C252" s="42"/>
      <c r="D252" s="73"/>
      <c r="E252" s="45"/>
      <c r="F252" s="44"/>
      <c r="G252" s="45"/>
      <c r="I252" s="45"/>
      <c r="K252" s="45"/>
      <c r="M252" s="45"/>
      <c r="O252" s="45"/>
      <c r="Q252" s="45"/>
      <c r="S252" s="45"/>
      <c r="U252" s="45"/>
      <c r="W252" s="45"/>
      <c r="Y252" s="45"/>
      <c r="AA252" s="45"/>
      <c r="AC252" s="45"/>
      <c r="AE252" s="45"/>
      <c r="AG252" s="45"/>
      <c r="AI252" s="45"/>
      <c r="AK252" s="45"/>
      <c r="AM252" s="45"/>
      <c r="AO252" s="45"/>
      <c r="AQ252" s="45"/>
    </row>
    <row r="253" spans="1:44" ht="12.75" customHeight="1">
      <c r="A253" s="24"/>
      <c r="C253" s="42"/>
      <c r="D253" s="73"/>
      <c r="E253" s="45"/>
      <c r="F253" s="44"/>
      <c r="G253" s="45"/>
      <c r="I253" s="45"/>
      <c r="K253" s="45"/>
      <c r="M253" s="45"/>
      <c r="O253" s="45"/>
      <c r="Q253" s="45"/>
      <c r="S253" s="45"/>
      <c r="U253" s="45"/>
      <c r="W253" s="45"/>
      <c r="Y253" s="45"/>
      <c r="AA253" s="45"/>
      <c r="AC253" s="45"/>
      <c r="AE253" s="45"/>
      <c r="AG253" s="45"/>
      <c r="AI253" s="45"/>
      <c r="AK253" s="45"/>
      <c r="AM253" s="45"/>
      <c r="AO253" s="45"/>
      <c r="AQ253" s="45"/>
    </row>
    <row r="254" spans="1:44" ht="12.75" customHeight="1">
      <c r="A254" s="24"/>
      <c r="C254" s="42"/>
      <c r="D254" s="73"/>
      <c r="E254" s="45"/>
      <c r="F254" s="44"/>
      <c r="G254" s="45"/>
      <c r="I254" s="45"/>
      <c r="K254" s="45"/>
      <c r="M254" s="45"/>
      <c r="O254" s="45"/>
      <c r="Q254" s="45"/>
      <c r="S254" s="45"/>
      <c r="U254" s="45"/>
      <c r="W254" s="45"/>
      <c r="Y254" s="45"/>
      <c r="AA254" s="45"/>
      <c r="AC254" s="45"/>
      <c r="AE254" s="45"/>
      <c r="AG254" s="45"/>
      <c r="AI254" s="45"/>
      <c r="AK254" s="45"/>
      <c r="AM254" s="45"/>
      <c r="AO254" s="45"/>
      <c r="AQ254" s="45"/>
    </row>
    <row r="255" spans="1:44" ht="12.75" customHeight="1">
      <c r="A255" s="24"/>
      <c r="C255" s="42"/>
      <c r="D255" s="73"/>
      <c r="E255" s="45"/>
      <c r="F255" s="44"/>
      <c r="G255" s="45"/>
      <c r="I255" s="45"/>
      <c r="K255" s="45"/>
      <c r="M255" s="45"/>
      <c r="O255" s="45"/>
      <c r="Q255" s="45"/>
      <c r="S255" s="45"/>
      <c r="U255" s="45"/>
      <c r="W255" s="45"/>
      <c r="Y255" s="45"/>
      <c r="AA255" s="45"/>
      <c r="AC255" s="45"/>
      <c r="AE255" s="45"/>
      <c r="AG255" s="45"/>
      <c r="AI255" s="45"/>
      <c r="AK255" s="45"/>
      <c r="AM255" s="45"/>
      <c r="AO255" s="45"/>
      <c r="AQ255" s="45"/>
    </row>
    <row r="256" spans="1:44" ht="12.75" customHeight="1">
      <c r="A256" s="24"/>
      <c r="C256" s="42"/>
      <c r="D256" s="73"/>
      <c r="E256" s="45"/>
      <c r="F256" s="44"/>
      <c r="G256" s="45"/>
      <c r="I256" s="45"/>
      <c r="K256" s="45"/>
      <c r="M256" s="45"/>
      <c r="O256" s="45"/>
      <c r="Q256" s="45"/>
      <c r="S256" s="45"/>
      <c r="U256" s="45"/>
      <c r="W256" s="45"/>
      <c r="Y256" s="45"/>
      <c r="AA256" s="45"/>
      <c r="AC256" s="45"/>
      <c r="AE256" s="45"/>
      <c r="AG256" s="45"/>
      <c r="AI256" s="45"/>
      <c r="AK256" s="45"/>
      <c r="AM256" s="45"/>
      <c r="AO256" s="45"/>
      <c r="AQ256" s="45"/>
    </row>
    <row r="257" spans="1:43" ht="12.75" customHeight="1">
      <c r="A257" s="24"/>
      <c r="C257" s="42"/>
      <c r="D257" s="73"/>
      <c r="E257" s="45"/>
      <c r="F257" s="44"/>
      <c r="G257" s="45"/>
      <c r="I257" s="45"/>
      <c r="K257" s="45"/>
      <c r="M257" s="45"/>
      <c r="O257" s="45"/>
      <c r="Q257" s="45"/>
      <c r="S257" s="45"/>
      <c r="U257" s="45"/>
      <c r="W257" s="45"/>
      <c r="Y257" s="45"/>
      <c r="AA257" s="45"/>
      <c r="AC257" s="45"/>
      <c r="AE257" s="45"/>
      <c r="AG257" s="45"/>
      <c r="AI257" s="45"/>
      <c r="AK257" s="45"/>
      <c r="AM257" s="45"/>
      <c r="AO257" s="45"/>
      <c r="AQ257" s="45"/>
    </row>
    <row r="258" spans="1:43" ht="12.75" customHeight="1">
      <c r="A258" s="24"/>
      <c r="C258" s="42"/>
      <c r="D258" s="73"/>
      <c r="E258" s="45"/>
      <c r="F258" s="44"/>
      <c r="G258" s="45"/>
      <c r="I258" s="45"/>
      <c r="K258" s="45"/>
      <c r="M258" s="45"/>
      <c r="O258" s="45"/>
      <c r="Q258" s="45"/>
      <c r="S258" s="45"/>
      <c r="U258" s="45"/>
      <c r="W258" s="45"/>
      <c r="Y258" s="45"/>
      <c r="AA258" s="45"/>
      <c r="AC258" s="45"/>
      <c r="AE258" s="45"/>
      <c r="AG258" s="45"/>
      <c r="AI258" s="45"/>
      <c r="AK258" s="45"/>
      <c r="AM258" s="45"/>
      <c r="AO258" s="45"/>
      <c r="AQ258" s="45"/>
    </row>
    <row r="259" spans="1:43" ht="12.75" customHeight="1">
      <c r="A259" s="24"/>
      <c r="C259" s="42"/>
      <c r="D259" s="73"/>
      <c r="E259" s="45"/>
      <c r="F259" s="44"/>
      <c r="G259" s="45"/>
      <c r="I259" s="45"/>
      <c r="K259" s="45"/>
      <c r="M259" s="45"/>
      <c r="O259" s="45"/>
      <c r="Q259" s="45"/>
      <c r="S259" s="45"/>
      <c r="U259" s="45"/>
      <c r="W259" s="45"/>
      <c r="Y259" s="45"/>
      <c r="AA259" s="45"/>
      <c r="AC259" s="45"/>
      <c r="AE259" s="45"/>
      <c r="AG259" s="45"/>
      <c r="AI259" s="45"/>
      <c r="AK259" s="45"/>
      <c r="AM259" s="45"/>
      <c r="AO259" s="45"/>
      <c r="AQ259" s="45"/>
    </row>
    <row r="260" spans="1:43" ht="12.75" customHeight="1">
      <c r="A260" s="24"/>
      <c r="C260" s="42"/>
      <c r="D260" s="73"/>
      <c r="E260" s="45"/>
      <c r="F260" s="44"/>
      <c r="G260" s="45"/>
      <c r="I260" s="45"/>
      <c r="K260" s="45"/>
      <c r="M260" s="45"/>
      <c r="O260" s="45"/>
      <c r="Q260" s="45"/>
      <c r="S260" s="45"/>
      <c r="U260" s="45"/>
      <c r="W260" s="45"/>
      <c r="Y260" s="45"/>
      <c r="AA260" s="45"/>
      <c r="AC260" s="45"/>
      <c r="AE260" s="45"/>
      <c r="AG260" s="45"/>
      <c r="AI260" s="45"/>
      <c r="AK260" s="45"/>
      <c r="AM260" s="45"/>
      <c r="AO260" s="45"/>
      <c r="AQ260" s="45"/>
    </row>
    <row r="261" spans="1:43" ht="12.75" customHeight="1">
      <c r="A261" s="24"/>
      <c r="C261" s="42"/>
      <c r="D261" s="73"/>
      <c r="E261" s="45"/>
      <c r="F261" s="44"/>
      <c r="G261" s="45"/>
      <c r="I261" s="45"/>
      <c r="K261" s="45"/>
      <c r="M261" s="45"/>
      <c r="O261" s="45"/>
      <c r="Q261" s="45"/>
      <c r="S261" s="45"/>
      <c r="U261" s="45"/>
      <c r="W261" s="45"/>
      <c r="Y261" s="45"/>
      <c r="AA261" s="45"/>
      <c r="AC261" s="45"/>
      <c r="AE261" s="45"/>
      <c r="AG261" s="45"/>
      <c r="AI261" s="45"/>
      <c r="AK261" s="45"/>
      <c r="AM261" s="45"/>
      <c r="AO261" s="45"/>
      <c r="AQ261" s="45"/>
    </row>
    <row r="262" spans="1:43" ht="12.75" customHeight="1">
      <c r="A262" s="24"/>
      <c r="C262" s="42"/>
      <c r="D262" s="73"/>
      <c r="E262" s="45"/>
      <c r="F262" s="44"/>
      <c r="G262" s="45"/>
      <c r="I262" s="45"/>
      <c r="K262" s="45"/>
      <c r="M262" s="45"/>
      <c r="O262" s="45"/>
      <c r="Q262" s="45"/>
      <c r="S262" s="45"/>
      <c r="U262" s="45"/>
      <c r="W262" s="45"/>
      <c r="Y262" s="45"/>
      <c r="AA262" s="45"/>
      <c r="AC262" s="45"/>
      <c r="AE262" s="45"/>
      <c r="AG262" s="45"/>
      <c r="AI262" s="45"/>
      <c r="AK262" s="45"/>
      <c r="AM262" s="45"/>
      <c r="AO262" s="45"/>
      <c r="AQ262" s="45"/>
    </row>
    <row r="263" spans="1:43" ht="12.75" customHeight="1">
      <c r="A263" s="24"/>
      <c r="C263" s="42"/>
      <c r="D263" s="73"/>
      <c r="E263" s="45"/>
      <c r="F263" s="44"/>
      <c r="G263" s="45"/>
      <c r="I263" s="45"/>
      <c r="K263" s="45"/>
      <c r="M263" s="45"/>
      <c r="O263" s="45"/>
      <c r="Q263" s="45"/>
      <c r="S263" s="45"/>
      <c r="U263" s="45"/>
      <c r="W263" s="45"/>
      <c r="Y263" s="45"/>
      <c r="AA263" s="45"/>
      <c r="AC263" s="45"/>
      <c r="AE263" s="45"/>
      <c r="AG263" s="45"/>
      <c r="AI263" s="45"/>
      <c r="AK263" s="45"/>
      <c r="AM263" s="45"/>
      <c r="AO263" s="45"/>
      <c r="AQ263" s="45"/>
    </row>
    <row r="264" spans="1:43" ht="12.75" customHeight="1">
      <c r="A264" s="24"/>
      <c r="C264" s="42"/>
      <c r="D264" s="73"/>
      <c r="E264" s="45"/>
      <c r="F264" s="44"/>
      <c r="G264" s="45"/>
      <c r="I264" s="45"/>
      <c r="K264" s="45"/>
      <c r="M264" s="45"/>
      <c r="O264" s="45"/>
      <c r="Q264" s="45"/>
      <c r="S264" s="45"/>
      <c r="U264" s="45"/>
      <c r="W264" s="45"/>
      <c r="Y264" s="45"/>
      <c r="AA264" s="45"/>
      <c r="AC264" s="45"/>
      <c r="AE264" s="45"/>
      <c r="AG264" s="45"/>
      <c r="AI264" s="45"/>
      <c r="AK264" s="45"/>
      <c r="AM264" s="45"/>
      <c r="AO264" s="45"/>
      <c r="AQ264" s="45"/>
    </row>
    <row r="265" spans="1:43" ht="12.75" customHeight="1">
      <c r="A265" s="24"/>
      <c r="C265" s="42"/>
      <c r="D265" s="73"/>
      <c r="E265" s="45"/>
      <c r="F265" s="44"/>
      <c r="G265" s="45"/>
      <c r="I265" s="45"/>
      <c r="K265" s="45"/>
      <c r="M265" s="45"/>
      <c r="O265" s="45"/>
      <c r="Q265" s="45"/>
      <c r="S265" s="45"/>
      <c r="U265" s="45"/>
      <c r="W265" s="45"/>
      <c r="Y265" s="45"/>
      <c r="AA265" s="45"/>
      <c r="AC265" s="45"/>
      <c r="AE265" s="45"/>
      <c r="AG265" s="45"/>
      <c r="AI265" s="45"/>
      <c r="AK265" s="45"/>
      <c r="AM265" s="45"/>
      <c r="AO265" s="45"/>
      <c r="AQ265" s="45"/>
    </row>
    <row r="266" spans="1:43" ht="12.75" customHeight="1">
      <c r="A266" s="24"/>
      <c r="C266" s="42"/>
      <c r="D266" s="73"/>
      <c r="E266" s="45"/>
      <c r="F266" s="44"/>
      <c r="G266" s="45"/>
      <c r="I266" s="45"/>
      <c r="K266" s="45"/>
      <c r="M266" s="45"/>
      <c r="O266" s="45"/>
      <c r="Q266" s="45"/>
      <c r="S266" s="45"/>
      <c r="U266" s="45"/>
      <c r="W266" s="45"/>
      <c r="Y266" s="45"/>
      <c r="AA266" s="45"/>
      <c r="AC266" s="45"/>
      <c r="AE266" s="45"/>
      <c r="AG266" s="45"/>
      <c r="AI266" s="45"/>
      <c r="AK266" s="45"/>
      <c r="AM266" s="45"/>
      <c r="AO266" s="45"/>
      <c r="AQ266" s="45"/>
    </row>
    <row r="267" spans="1:43" ht="12.75" customHeight="1">
      <c r="A267" s="24"/>
      <c r="C267" s="42"/>
      <c r="D267" s="73"/>
      <c r="E267" s="45"/>
      <c r="F267" s="44"/>
      <c r="G267" s="45"/>
      <c r="I267" s="45"/>
      <c r="K267" s="45"/>
      <c r="M267" s="45"/>
      <c r="O267" s="45"/>
      <c r="Q267" s="45"/>
      <c r="S267" s="45"/>
      <c r="U267" s="45"/>
      <c r="W267" s="45"/>
      <c r="Y267" s="45"/>
      <c r="AA267" s="45"/>
      <c r="AC267" s="45"/>
      <c r="AE267" s="45"/>
      <c r="AG267" s="45"/>
      <c r="AI267" s="45"/>
      <c r="AK267" s="45"/>
      <c r="AM267" s="45"/>
      <c r="AO267" s="45"/>
      <c r="AQ267" s="45"/>
    </row>
    <row r="268" spans="1:43" ht="12.75" customHeight="1">
      <c r="A268" s="24"/>
      <c r="C268" s="42"/>
      <c r="D268" s="73"/>
      <c r="E268" s="45"/>
      <c r="F268" s="44"/>
      <c r="G268" s="45"/>
      <c r="I268" s="45"/>
      <c r="K268" s="45"/>
      <c r="M268" s="45"/>
      <c r="O268" s="45"/>
      <c r="Q268" s="45"/>
      <c r="S268" s="45"/>
      <c r="U268" s="45"/>
      <c r="W268" s="45"/>
      <c r="Y268" s="45"/>
      <c r="AA268" s="45"/>
      <c r="AC268" s="45"/>
      <c r="AE268" s="45"/>
      <c r="AG268" s="45"/>
      <c r="AI268" s="45"/>
      <c r="AK268" s="45"/>
      <c r="AM268" s="45"/>
      <c r="AO268" s="45"/>
      <c r="AQ268" s="45"/>
    </row>
    <row r="269" spans="1:43" ht="12.75" customHeight="1">
      <c r="A269" s="24"/>
      <c r="C269" s="42"/>
      <c r="D269" s="73"/>
      <c r="E269" s="45"/>
      <c r="F269" s="44"/>
      <c r="G269" s="45"/>
      <c r="I269" s="45"/>
      <c r="K269" s="45"/>
      <c r="M269" s="45"/>
      <c r="O269" s="45"/>
      <c r="Q269" s="45"/>
      <c r="S269" s="45"/>
      <c r="U269" s="45"/>
      <c r="W269" s="45"/>
      <c r="Y269" s="45"/>
      <c r="AA269" s="45"/>
      <c r="AC269" s="45"/>
      <c r="AE269" s="45"/>
      <c r="AG269" s="45"/>
      <c r="AI269" s="45"/>
      <c r="AK269" s="45"/>
      <c r="AM269" s="45"/>
      <c r="AO269" s="45"/>
      <c r="AQ269" s="45"/>
    </row>
    <row r="270" spans="1:43" ht="12.75" customHeight="1">
      <c r="A270" s="24"/>
      <c r="C270" s="42"/>
      <c r="D270" s="73"/>
      <c r="E270" s="45"/>
      <c r="F270" s="44"/>
      <c r="G270" s="45"/>
      <c r="I270" s="45"/>
      <c r="K270" s="45"/>
      <c r="M270" s="45"/>
      <c r="O270" s="45"/>
      <c r="Q270" s="45"/>
      <c r="S270" s="45"/>
      <c r="U270" s="45"/>
      <c r="W270" s="45"/>
      <c r="Y270" s="45"/>
      <c r="AA270" s="45"/>
      <c r="AC270" s="45"/>
      <c r="AE270" s="45"/>
      <c r="AG270" s="45"/>
      <c r="AI270" s="45"/>
      <c r="AK270" s="45"/>
      <c r="AM270" s="45"/>
      <c r="AO270" s="45"/>
      <c r="AQ270" s="45"/>
    </row>
    <row r="271" spans="1:43" ht="12.75" customHeight="1">
      <c r="A271" s="24"/>
      <c r="C271" s="42"/>
      <c r="D271" s="73"/>
      <c r="E271" s="45"/>
      <c r="F271" s="44"/>
      <c r="G271" s="45"/>
      <c r="I271" s="45"/>
      <c r="K271" s="45"/>
      <c r="M271" s="45"/>
      <c r="O271" s="45"/>
      <c r="Q271" s="45"/>
      <c r="S271" s="45"/>
      <c r="U271" s="45"/>
      <c r="W271" s="45"/>
      <c r="Y271" s="45"/>
      <c r="AA271" s="45"/>
      <c r="AC271" s="45"/>
      <c r="AE271" s="45"/>
      <c r="AG271" s="45"/>
      <c r="AI271" s="45"/>
      <c r="AK271" s="45"/>
      <c r="AM271" s="45"/>
      <c r="AO271" s="45"/>
      <c r="AQ271" s="45"/>
    </row>
    <row r="272" spans="1:43" ht="12.75" customHeight="1">
      <c r="A272" s="24"/>
      <c r="C272" s="42"/>
      <c r="D272" s="73"/>
      <c r="E272" s="45"/>
      <c r="F272" s="44"/>
      <c r="G272" s="45"/>
      <c r="I272" s="45"/>
      <c r="K272" s="45"/>
      <c r="M272" s="45"/>
      <c r="O272" s="45"/>
      <c r="Q272" s="45"/>
      <c r="S272" s="45"/>
      <c r="U272" s="45"/>
      <c r="W272" s="45"/>
      <c r="Y272" s="45"/>
      <c r="AA272" s="45"/>
      <c r="AC272" s="45"/>
      <c r="AE272" s="45"/>
      <c r="AG272" s="45"/>
      <c r="AI272" s="45"/>
      <c r="AK272" s="45"/>
      <c r="AM272" s="45"/>
      <c r="AO272" s="45"/>
      <c r="AQ272" s="45"/>
    </row>
    <row r="273" spans="1:43" ht="12.75" customHeight="1">
      <c r="A273" s="24"/>
      <c r="C273" s="42"/>
      <c r="D273" s="73"/>
      <c r="E273" s="45"/>
      <c r="F273" s="44"/>
      <c r="G273" s="45"/>
      <c r="I273" s="45"/>
      <c r="K273" s="45"/>
      <c r="M273" s="45"/>
      <c r="O273" s="45"/>
      <c r="Q273" s="45"/>
      <c r="S273" s="45"/>
      <c r="U273" s="45"/>
      <c r="W273" s="45"/>
      <c r="Y273" s="45"/>
      <c r="AA273" s="45"/>
      <c r="AC273" s="45"/>
      <c r="AE273" s="45"/>
      <c r="AG273" s="45"/>
      <c r="AI273" s="45"/>
      <c r="AK273" s="45"/>
      <c r="AM273" s="45"/>
      <c r="AO273" s="45"/>
      <c r="AQ273" s="45"/>
    </row>
    <row r="274" spans="1:43" ht="12.75" customHeight="1">
      <c r="A274" s="24"/>
      <c r="C274" s="42"/>
      <c r="D274" s="73"/>
      <c r="E274" s="45"/>
      <c r="F274" s="44"/>
      <c r="G274" s="45"/>
      <c r="I274" s="45"/>
      <c r="K274" s="45"/>
      <c r="M274" s="45"/>
      <c r="O274" s="45"/>
      <c r="Q274" s="45"/>
      <c r="S274" s="45"/>
      <c r="U274" s="45"/>
      <c r="W274" s="45"/>
      <c r="Y274" s="45"/>
      <c r="AA274" s="45"/>
      <c r="AC274" s="45"/>
      <c r="AE274" s="45"/>
      <c r="AG274" s="45"/>
      <c r="AI274" s="45"/>
      <c r="AK274" s="45"/>
      <c r="AM274" s="45"/>
      <c r="AO274" s="45"/>
      <c r="AQ274" s="45"/>
    </row>
    <row r="275" spans="1:43" ht="12.75" customHeight="1">
      <c r="A275" s="24"/>
      <c r="C275" s="42"/>
      <c r="D275" s="73"/>
      <c r="E275" s="45"/>
      <c r="F275" s="44"/>
      <c r="G275" s="45"/>
      <c r="I275" s="45"/>
      <c r="K275" s="45"/>
      <c r="M275" s="45"/>
      <c r="O275" s="45"/>
      <c r="Q275" s="45"/>
      <c r="S275" s="45"/>
      <c r="U275" s="45"/>
      <c r="W275" s="45"/>
      <c r="Y275" s="45"/>
      <c r="AA275" s="45"/>
      <c r="AC275" s="45"/>
      <c r="AE275" s="45"/>
      <c r="AG275" s="45"/>
      <c r="AI275" s="45"/>
      <c r="AK275" s="45"/>
      <c r="AM275" s="45"/>
      <c r="AO275" s="45"/>
      <c r="AQ275" s="45"/>
    </row>
    <row r="276" spans="1:43" ht="12.75" customHeight="1">
      <c r="A276" s="24"/>
      <c r="C276" s="42"/>
      <c r="D276" s="73"/>
      <c r="E276" s="45"/>
      <c r="F276" s="44"/>
      <c r="G276" s="45"/>
      <c r="I276" s="45"/>
      <c r="K276" s="45"/>
      <c r="M276" s="45"/>
      <c r="O276" s="45"/>
      <c r="Q276" s="45"/>
      <c r="S276" s="45"/>
      <c r="U276" s="45"/>
      <c r="W276" s="45"/>
      <c r="Y276" s="45"/>
      <c r="AA276" s="45"/>
      <c r="AC276" s="45"/>
      <c r="AE276" s="45"/>
      <c r="AG276" s="45"/>
      <c r="AI276" s="45"/>
      <c r="AK276" s="45"/>
      <c r="AM276" s="45"/>
      <c r="AO276" s="45"/>
      <c r="AQ276" s="45"/>
    </row>
    <row r="277" spans="1:43" ht="12.75" customHeight="1">
      <c r="A277" s="24"/>
      <c r="C277" s="42"/>
      <c r="D277" s="73"/>
      <c r="E277" s="45"/>
      <c r="F277" s="44"/>
      <c r="G277" s="45"/>
      <c r="I277" s="45"/>
      <c r="K277" s="45"/>
      <c r="M277" s="45"/>
      <c r="O277" s="45"/>
      <c r="Q277" s="45"/>
      <c r="S277" s="45"/>
      <c r="U277" s="45"/>
      <c r="W277" s="45"/>
      <c r="Y277" s="45"/>
      <c r="AA277" s="45"/>
      <c r="AC277" s="45"/>
      <c r="AE277" s="45"/>
      <c r="AG277" s="45"/>
      <c r="AI277" s="45"/>
      <c r="AK277" s="45"/>
      <c r="AM277" s="45"/>
      <c r="AO277" s="45"/>
      <c r="AQ277" s="45"/>
    </row>
    <row r="278" spans="1:43" ht="12.75" customHeight="1">
      <c r="A278" s="24"/>
      <c r="C278" s="42"/>
      <c r="D278" s="73"/>
      <c r="E278" s="45"/>
      <c r="F278" s="44"/>
      <c r="G278" s="45"/>
      <c r="I278" s="45"/>
      <c r="K278" s="45"/>
      <c r="M278" s="45"/>
      <c r="O278" s="45"/>
      <c r="Q278" s="45"/>
      <c r="S278" s="45"/>
      <c r="U278" s="45"/>
      <c r="W278" s="45"/>
      <c r="Y278" s="45"/>
      <c r="AA278" s="45"/>
      <c r="AC278" s="45"/>
      <c r="AE278" s="45"/>
      <c r="AG278" s="45"/>
      <c r="AI278" s="45"/>
      <c r="AK278" s="45"/>
      <c r="AM278" s="45"/>
      <c r="AO278" s="45"/>
      <c r="AQ278" s="45"/>
    </row>
    <row r="279" spans="1:43" ht="12.75" customHeight="1">
      <c r="A279" s="24"/>
      <c r="C279" s="42"/>
      <c r="D279" s="73"/>
      <c r="E279" s="45"/>
      <c r="F279" s="44"/>
      <c r="G279" s="45"/>
      <c r="I279" s="45"/>
      <c r="K279" s="45"/>
      <c r="M279" s="45"/>
      <c r="O279" s="45"/>
      <c r="Q279" s="45"/>
      <c r="S279" s="45"/>
      <c r="U279" s="45"/>
      <c r="W279" s="45"/>
      <c r="Y279" s="45"/>
      <c r="AA279" s="45"/>
      <c r="AC279" s="45"/>
      <c r="AE279" s="45"/>
      <c r="AG279" s="45"/>
      <c r="AI279" s="45"/>
      <c r="AK279" s="45"/>
      <c r="AM279" s="45"/>
      <c r="AO279" s="45"/>
      <c r="AQ279" s="45"/>
    </row>
    <row r="280" spans="1:43" ht="12.75" customHeight="1">
      <c r="A280" s="24"/>
      <c r="C280" s="42"/>
      <c r="D280" s="73"/>
      <c r="E280" s="45"/>
      <c r="F280" s="44"/>
      <c r="G280" s="45"/>
      <c r="I280" s="45"/>
      <c r="K280" s="45"/>
      <c r="M280" s="45"/>
      <c r="O280" s="45"/>
      <c r="Q280" s="45"/>
      <c r="S280" s="45"/>
      <c r="U280" s="45"/>
      <c r="W280" s="45"/>
      <c r="Y280" s="45"/>
      <c r="AA280" s="45"/>
      <c r="AC280" s="45"/>
      <c r="AE280" s="45"/>
      <c r="AG280" s="45"/>
      <c r="AI280" s="45"/>
      <c r="AK280" s="45"/>
      <c r="AM280" s="45"/>
      <c r="AO280" s="45"/>
      <c r="AQ280" s="45"/>
    </row>
    <row r="281" spans="1:43" ht="12.75" customHeight="1">
      <c r="A281" s="24"/>
      <c r="C281" s="42"/>
      <c r="D281" s="73"/>
      <c r="E281" s="45"/>
      <c r="F281" s="44"/>
      <c r="G281" s="45"/>
      <c r="I281" s="45"/>
      <c r="K281" s="45"/>
      <c r="M281" s="45"/>
      <c r="O281" s="45"/>
      <c r="Q281" s="45"/>
      <c r="S281" s="45"/>
      <c r="U281" s="45"/>
      <c r="W281" s="45"/>
      <c r="Y281" s="45"/>
      <c r="AA281" s="45"/>
      <c r="AC281" s="45"/>
      <c r="AE281" s="45"/>
      <c r="AG281" s="45"/>
      <c r="AI281" s="45"/>
      <c r="AK281" s="45"/>
      <c r="AM281" s="45"/>
      <c r="AO281" s="45"/>
      <c r="AQ281" s="45"/>
    </row>
    <row r="282" spans="1:43" ht="12.75" customHeight="1">
      <c r="A282" s="24"/>
      <c r="C282" s="42"/>
      <c r="D282" s="73"/>
      <c r="E282" s="45"/>
      <c r="F282" s="44"/>
      <c r="G282" s="45"/>
      <c r="I282" s="45"/>
      <c r="K282" s="45"/>
      <c r="M282" s="45"/>
      <c r="O282" s="45"/>
      <c r="Q282" s="45"/>
      <c r="S282" s="45"/>
      <c r="U282" s="45"/>
      <c r="W282" s="45"/>
      <c r="Y282" s="45"/>
      <c r="AA282" s="45"/>
      <c r="AC282" s="45"/>
      <c r="AE282" s="45"/>
      <c r="AG282" s="45"/>
      <c r="AI282" s="45"/>
      <c r="AK282" s="45"/>
      <c r="AM282" s="45"/>
      <c r="AO282" s="45"/>
      <c r="AQ282" s="45"/>
    </row>
    <row r="283" spans="1:43" ht="12.75" customHeight="1">
      <c r="A283" s="24"/>
      <c r="C283" s="42"/>
      <c r="D283" s="73"/>
      <c r="E283" s="45"/>
      <c r="F283" s="44"/>
      <c r="G283" s="45"/>
      <c r="I283" s="45"/>
      <c r="K283" s="45"/>
      <c r="M283" s="45"/>
      <c r="O283" s="45"/>
      <c r="Q283" s="45"/>
      <c r="S283" s="45"/>
      <c r="U283" s="45"/>
      <c r="W283" s="45"/>
      <c r="Y283" s="45"/>
      <c r="AA283" s="45"/>
      <c r="AC283" s="45"/>
      <c r="AE283" s="45"/>
      <c r="AG283" s="45"/>
      <c r="AI283" s="45"/>
      <c r="AK283" s="45"/>
      <c r="AM283" s="45"/>
      <c r="AO283" s="45"/>
      <c r="AQ283" s="45"/>
    </row>
    <row r="284" spans="1:43" ht="12.75" customHeight="1">
      <c r="A284" s="24"/>
      <c r="C284" s="42"/>
      <c r="D284" s="73"/>
      <c r="E284" s="45"/>
      <c r="F284" s="44"/>
      <c r="G284" s="45"/>
      <c r="I284" s="45"/>
      <c r="K284" s="45"/>
      <c r="M284" s="45"/>
      <c r="O284" s="45"/>
      <c r="Q284" s="45"/>
      <c r="S284" s="45"/>
      <c r="U284" s="45"/>
      <c r="W284" s="45"/>
      <c r="Y284" s="45"/>
      <c r="AA284" s="45"/>
      <c r="AC284" s="45"/>
      <c r="AE284" s="45"/>
      <c r="AG284" s="45"/>
      <c r="AI284" s="45"/>
      <c r="AK284" s="45"/>
      <c r="AM284" s="45"/>
      <c r="AO284" s="45"/>
      <c r="AQ284" s="45"/>
    </row>
    <row r="285" spans="1:43" ht="12.75" customHeight="1">
      <c r="A285" s="24"/>
      <c r="C285" s="42"/>
      <c r="D285" s="73"/>
      <c r="E285" s="45"/>
      <c r="F285" s="44"/>
      <c r="G285" s="45"/>
      <c r="I285" s="45"/>
      <c r="K285" s="45"/>
      <c r="M285" s="45"/>
      <c r="O285" s="45"/>
      <c r="Q285" s="45"/>
      <c r="S285" s="45"/>
      <c r="U285" s="45"/>
      <c r="W285" s="45"/>
      <c r="Y285" s="45"/>
      <c r="AA285" s="45"/>
      <c r="AC285" s="45"/>
      <c r="AE285" s="45"/>
      <c r="AG285" s="45"/>
      <c r="AI285" s="45"/>
      <c r="AK285" s="45"/>
      <c r="AM285" s="45"/>
      <c r="AO285" s="45"/>
      <c r="AQ285" s="45"/>
    </row>
    <row r="286" spans="1:43" ht="12.75" customHeight="1">
      <c r="A286" s="24"/>
      <c r="C286" s="42"/>
      <c r="D286" s="73"/>
      <c r="E286" s="45"/>
      <c r="F286" s="44"/>
      <c r="G286" s="45"/>
      <c r="I286" s="45"/>
      <c r="K286" s="45"/>
      <c r="M286" s="45"/>
      <c r="O286" s="45"/>
      <c r="Q286" s="45"/>
      <c r="S286" s="45"/>
      <c r="U286" s="45"/>
      <c r="W286" s="45"/>
      <c r="Y286" s="45"/>
      <c r="AA286" s="45"/>
      <c r="AC286" s="45"/>
      <c r="AE286" s="45"/>
      <c r="AG286" s="45"/>
      <c r="AI286" s="45"/>
      <c r="AK286" s="45"/>
      <c r="AM286" s="45"/>
      <c r="AO286" s="45"/>
      <c r="AQ286" s="45"/>
    </row>
    <row r="287" spans="1:43" ht="12.75" customHeight="1">
      <c r="A287" s="24"/>
      <c r="C287" s="42"/>
      <c r="D287" s="73"/>
      <c r="E287" s="45"/>
      <c r="F287" s="44"/>
      <c r="G287" s="45"/>
      <c r="I287" s="45"/>
      <c r="K287" s="45"/>
      <c r="M287" s="45"/>
      <c r="O287" s="45"/>
      <c r="Q287" s="45"/>
      <c r="S287" s="45"/>
      <c r="U287" s="45"/>
      <c r="W287" s="45"/>
      <c r="Y287" s="45"/>
      <c r="AA287" s="45"/>
      <c r="AC287" s="45"/>
      <c r="AE287" s="45"/>
      <c r="AG287" s="45"/>
      <c r="AI287" s="45"/>
      <c r="AK287" s="45"/>
      <c r="AM287" s="45"/>
      <c r="AO287" s="45"/>
      <c r="AQ287" s="45"/>
    </row>
    <row r="288" spans="1:43" ht="12.75" customHeight="1">
      <c r="A288" s="24"/>
      <c r="C288" s="42"/>
      <c r="D288" s="73"/>
      <c r="E288" s="45"/>
      <c r="F288" s="44"/>
      <c r="G288" s="45"/>
      <c r="I288" s="45"/>
      <c r="K288" s="45"/>
      <c r="M288" s="45"/>
      <c r="O288" s="45"/>
      <c r="Q288" s="45"/>
      <c r="S288" s="45"/>
      <c r="U288" s="45"/>
      <c r="W288" s="45"/>
      <c r="Y288" s="45"/>
      <c r="AA288" s="45"/>
      <c r="AC288" s="45"/>
      <c r="AE288" s="45"/>
      <c r="AG288" s="45"/>
      <c r="AI288" s="45"/>
      <c r="AK288" s="45"/>
      <c r="AM288" s="45"/>
      <c r="AO288" s="45"/>
      <c r="AQ288" s="45"/>
    </row>
    <row r="289" spans="1:43" ht="12.75" customHeight="1">
      <c r="A289" s="24"/>
      <c r="C289" s="42"/>
      <c r="D289" s="73"/>
      <c r="E289" s="45"/>
      <c r="F289" s="44"/>
      <c r="G289" s="45"/>
      <c r="I289" s="45"/>
      <c r="K289" s="45"/>
      <c r="M289" s="45"/>
      <c r="O289" s="45"/>
      <c r="Q289" s="45"/>
      <c r="S289" s="45"/>
      <c r="U289" s="45"/>
      <c r="W289" s="45"/>
      <c r="Y289" s="45"/>
      <c r="AA289" s="45"/>
      <c r="AC289" s="45"/>
      <c r="AE289" s="45"/>
      <c r="AG289" s="45"/>
      <c r="AI289" s="45"/>
      <c r="AK289" s="45"/>
      <c r="AM289" s="45"/>
      <c r="AO289" s="45"/>
      <c r="AQ289" s="45"/>
    </row>
    <row r="290" spans="1:43" ht="12.75" customHeight="1">
      <c r="A290" s="24"/>
      <c r="C290" s="42"/>
      <c r="D290" s="73"/>
      <c r="E290" s="45"/>
      <c r="F290" s="44"/>
      <c r="G290" s="45"/>
      <c r="I290" s="45"/>
      <c r="K290" s="45"/>
      <c r="M290" s="45"/>
      <c r="O290" s="45"/>
      <c r="Q290" s="45"/>
      <c r="S290" s="45"/>
      <c r="U290" s="45"/>
      <c r="W290" s="45"/>
      <c r="Y290" s="45"/>
      <c r="AA290" s="45"/>
      <c r="AC290" s="45"/>
      <c r="AE290" s="45"/>
      <c r="AG290" s="45"/>
      <c r="AI290" s="45"/>
      <c r="AK290" s="45"/>
      <c r="AM290" s="45"/>
      <c r="AO290" s="45"/>
      <c r="AQ290" s="45"/>
    </row>
    <row r="291" spans="1:43" ht="12.75" customHeight="1">
      <c r="A291" s="24"/>
      <c r="C291" s="42"/>
      <c r="D291" s="73"/>
      <c r="E291" s="45"/>
      <c r="F291" s="44"/>
      <c r="G291" s="45"/>
      <c r="I291" s="45"/>
      <c r="K291" s="45"/>
      <c r="M291" s="45"/>
      <c r="O291" s="45"/>
      <c r="Q291" s="45"/>
      <c r="S291" s="45"/>
      <c r="U291" s="45"/>
      <c r="W291" s="45"/>
      <c r="Y291" s="45"/>
      <c r="AA291" s="45"/>
      <c r="AC291" s="45"/>
      <c r="AE291" s="45"/>
      <c r="AG291" s="45"/>
      <c r="AI291" s="45"/>
      <c r="AK291" s="45"/>
      <c r="AM291" s="45"/>
      <c r="AO291" s="45"/>
      <c r="AQ291" s="45"/>
    </row>
    <row r="292" spans="1:43" ht="12.75" customHeight="1">
      <c r="A292" s="24"/>
      <c r="C292" s="42"/>
      <c r="D292" s="73"/>
      <c r="E292" s="45"/>
      <c r="F292" s="44"/>
      <c r="G292" s="45"/>
      <c r="I292" s="45"/>
      <c r="K292" s="45"/>
      <c r="M292" s="45"/>
      <c r="O292" s="45"/>
      <c r="Q292" s="45"/>
      <c r="S292" s="45"/>
      <c r="U292" s="45"/>
      <c r="W292" s="45"/>
      <c r="Y292" s="45"/>
      <c r="AA292" s="45"/>
      <c r="AC292" s="45"/>
      <c r="AE292" s="45"/>
      <c r="AG292" s="45"/>
      <c r="AI292" s="45"/>
      <c r="AK292" s="45"/>
      <c r="AM292" s="45"/>
      <c r="AO292" s="45"/>
      <c r="AQ292" s="45"/>
    </row>
    <row r="293" spans="1:43" ht="12.75" customHeight="1">
      <c r="A293" s="24"/>
      <c r="C293" s="42"/>
      <c r="D293" s="73"/>
      <c r="E293" s="45"/>
      <c r="F293" s="44"/>
      <c r="G293" s="45"/>
      <c r="I293" s="45"/>
      <c r="K293" s="45"/>
      <c r="M293" s="45"/>
      <c r="O293" s="45"/>
      <c r="Q293" s="45"/>
      <c r="S293" s="45"/>
      <c r="U293" s="45"/>
      <c r="W293" s="45"/>
      <c r="Y293" s="45"/>
      <c r="AA293" s="45"/>
      <c r="AC293" s="45"/>
      <c r="AE293" s="45"/>
      <c r="AG293" s="45"/>
      <c r="AI293" s="45"/>
      <c r="AK293" s="45"/>
      <c r="AM293" s="45"/>
      <c r="AO293" s="45"/>
      <c r="AQ293" s="45"/>
    </row>
    <row r="294" spans="1:43" ht="12.75" customHeight="1">
      <c r="A294" s="24"/>
      <c r="C294" s="42"/>
      <c r="D294" s="73"/>
      <c r="E294" s="45"/>
      <c r="F294" s="44"/>
      <c r="G294" s="45"/>
      <c r="I294" s="45"/>
      <c r="K294" s="45"/>
      <c r="M294" s="45"/>
      <c r="O294" s="45"/>
      <c r="Q294" s="45"/>
      <c r="S294" s="45"/>
      <c r="U294" s="45"/>
      <c r="W294" s="45"/>
      <c r="Y294" s="45"/>
      <c r="AA294" s="45"/>
      <c r="AC294" s="45"/>
      <c r="AE294" s="45"/>
      <c r="AG294" s="45"/>
      <c r="AI294" s="45"/>
      <c r="AK294" s="45"/>
      <c r="AM294" s="45"/>
      <c r="AO294" s="45"/>
      <c r="AQ294" s="45"/>
    </row>
    <row r="295" spans="1:43" ht="12.75" customHeight="1">
      <c r="A295" s="24"/>
      <c r="C295" s="42"/>
      <c r="D295" s="73"/>
      <c r="E295" s="45"/>
      <c r="F295" s="44"/>
      <c r="G295" s="45"/>
      <c r="I295" s="45"/>
      <c r="K295" s="45"/>
      <c r="M295" s="45"/>
      <c r="O295" s="45"/>
      <c r="Q295" s="45"/>
      <c r="S295" s="45"/>
      <c r="U295" s="45"/>
      <c r="W295" s="45"/>
      <c r="Y295" s="45"/>
      <c r="AA295" s="45"/>
      <c r="AC295" s="45"/>
      <c r="AE295" s="45"/>
      <c r="AG295" s="45"/>
      <c r="AI295" s="45"/>
      <c r="AK295" s="45"/>
      <c r="AM295" s="45"/>
      <c r="AO295" s="45"/>
      <c r="AQ295" s="45"/>
    </row>
    <row r="296" spans="1:43" ht="12.75" customHeight="1">
      <c r="A296" s="24"/>
      <c r="C296" s="42"/>
      <c r="D296" s="73"/>
      <c r="E296" s="45"/>
      <c r="F296" s="44"/>
      <c r="G296" s="45"/>
      <c r="I296" s="45"/>
      <c r="K296" s="45"/>
      <c r="M296" s="45"/>
      <c r="O296" s="45"/>
      <c r="Q296" s="45"/>
      <c r="S296" s="45"/>
      <c r="U296" s="45"/>
      <c r="W296" s="45"/>
      <c r="Y296" s="45"/>
      <c r="AA296" s="45"/>
      <c r="AC296" s="45"/>
      <c r="AE296" s="45"/>
      <c r="AG296" s="45"/>
      <c r="AI296" s="45"/>
      <c r="AK296" s="45"/>
      <c r="AM296" s="45"/>
      <c r="AO296" s="45"/>
      <c r="AQ296" s="45"/>
    </row>
    <row r="297" spans="1:43" ht="12.75" customHeight="1">
      <c r="A297" s="24"/>
      <c r="C297" s="42"/>
      <c r="D297" s="73"/>
      <c r="E297" s="45"/>
      <c r="F297" s="44"/>
      <c r="G297" s="45"/>
      <c r="I297" s="45"/>
      <c r="K297" s="45"/>
      <c r="M297" s="45"/>
      <c r="O297" s="45"/>
      <c r="Q297" s="45"/>
      <c r="S297" s="45"/>
      <c r="U297" s="45"/>
      <c r="W297" s="45"/>
      <c r="Y297" s="45"/>
      <c r="AA297" s="45"/>
      <c r="AC297" s="45"/>
      <c r="AE297" s="45"/>
      <c r="AG297" s="45"/>
      <c r="AI297" s="45"/>
      <c r="AK297" s="45"/>
      <c r="AM297" s="45"/>
      <c r="AO297" s="45"/>
      <c r="AQ297" s="45"/>
    </row>
    <row r="298" spans="1:43" ht="12.75" customHeight="1">
      <c r="A298" s="24"/>
      <c r="C298" s="42"/>
      <c r="D298" s="73"/>
      <c r="E298" s="45"/>
      <c r="F298" s="44"/>
      <c r="G298" s="45"/>
      <c r="I298" s="45"/>
      <c r="K298" s="45"/>
      <c r="M298" s="45"/>
      <c r="O298" s="45"/>
      <c r="Q298" s="45"/>
      <c r="S298" s="45"/>
      <c r="U298" s="45"/>
      <c r="W298" s="45"/>
      <c r="Y298" s="45"/>
      <c r="AA298" s="45"/>
      <c r="AC298" s="45"/>
      <c r="AE298" s="45"/>
      <c r="AG298" s="45"/>
      <c r="AI298" s="45"/>
      <c r="AK298" s="45"/>
      <c r="AM298" s="45"/>
      <c r="AO298" s="45"/>
      <c r="AQ298" s="45"/>
    </row>
    <row r="299" spans="1:43" ht="12.75" customHeight="1">
      <c r="A299" s="24"/>
      <c r="C299" s="42"/>
      <c r="D299" s="73"/>
      <c r="E299" s="45"/>
      <c r="F299" s="44"/>
      <c r="G299" s="45"/>
      <c r="I299" s="45"/>
      <c r="K299" s="45"/>
      <c r="M299" s="45"/>
      <c r="O299" s="45"/>
      <c r="Q299" s="45"/>
      <c r="S299" s="45"/>
      <c r="U299" s="45"/>
      <c r="W299" s="45"/>
      <c r="Y299" s="45"/>
      <c r="AA299" s="45"/>
      <c r="AC299" s="45"/>
      <c r="AE299" s="45"/>
      <c r="AG299" s="45"/>
      <c r="AI299" s="45"/>
      <c r="AK299" s="45"/>
      <c r="AM299" s="45"/>
      <c r="AO299" s="45"/>
      <c r="AQ299" s="45"/>
    </row>
    <row r="300" spans="1:43" ht="12.75" customHeight="1">
      <c r="A300" s="24"/>
      <c r="C300" s="42"/>
      <c r="D300" s="73"/>
      <c r="E300" s="45"/>
      <c r="F300" s="44"/>
      <c r="G300" s="45"/>
      <c r="I300" s="45"/>
      <c r="K300" s="45"/>
      <c r="M300" s="45"/>
      <c r="O300" s="45"/>
      <c r="Q300" s="45"/>
      <c r="S300" s="45"/>
      <c r="U300" s="45"/>
      <c r="W300" s="45"/>
      <c r="Y300" s="45"/>
      <c r="AA300" s="45"/>
      <c r="AC300" s="45"/>
      <c r="AE300" s="45"/>
      <c r="AG300" s="45"/>
      <c r="AI300" s="45"/>
      <c r="AK300" s="45"/>
      <c r="AM300" s="45"/>
      <c r="AO300" s="45"/>
      <c r="AQ300" s="45"/>
    </row>
    <row r="301" spans="1:43" ht="12.75" customHeight="1">
      <c r="A301" s="24"/>
      <c r="C301" s="42"/>
      <c r="D301" s="73"/>
      <c r="E301" s="45"/>
      <c r="F301" s="44"/>
      <c r="G301" s="45"/>
      <c r="I301" s="45"/>
      <c r="K301" s="45"/>
      <c r="M301" s="45"/>
      <c r="O301" s="45"/>
      <c r="Q301" s="45"/>
      <c r="S301" s="45"/>
      <c r="U301" s="45"/>
      <c r="W301" s="45"/>
      <c r="Y301" s="45"/>
      <c r="AA301" s="45"/>
      <c r="AC301" s="45"/>
      <c r="AE301" s="45"/>
      <c r="AG301" s="45"/>
      <c r="AI301" s="45"/>
      <c r="AK301" s="45"/>
      <c r="AM301" s="45"/>
      <c r="AO301" s="45"/>
      <c r="AQ301" s="45"/>
    </row>
    <row r="302" spans="1:43" ht="12.75" customHeight="1">
      <c r="A302" s="24"/>
      <c r="C302" s="42"/>
      <c r="D302" s="73"/>
      <c r="E302" s="45"/>
      <c r="F302" s="44"/>
      <c r="G302" s="45"/>
      <c r="I302" s="45"/>
      <c r="K302" s="45"/>
      <c r="M302" s="45"/>
      <c r="O302" s="45"/>
      <c r="Q302" s="45"/>
      <c r="S302" s="45"/>
      <c r="U302" s="45"/>
      <c r="W302" s="45"/>
      <c r="Y302" s="45"/>
      <c r="AA302" s="45"/>
      <c r="AC302" s="45"/>
      <c r="AE302" s="45"/>
      <c r="AG302" s="45"/>
      <c r="AI302" s="45"/>
      <c r="AK302" s="45"/>
      <c r="AM302" s="45"/>
      <c r="AO302" s="45"/>
      <c r="AQ302" s="45"/>
    </row>
    <row r="303" spans="1:43" ht="12.75" customHeight="1">
      <c r="A303" s="24"/>
      <c r="C303" s="42"/>
      <c r="D303" s="73"/>
      <c r="E303" s="45"/>
      <c r="F303" s="44"/>
      <c r="G303" s="45"/>
      <c r="I303" s="45"/>
      <c r="K303" s="45"/>
      <c r="M303" s="45"/>
      <c r="O303" s="45"/>
      <c r="Q303" s="45"/>
      <c r="S303" s="45"/>
      <c r="U303" s="45"/>
      <c r="W303" s="45"/>
      <c r="Y303" s="45"/>
      <c r="AA303" s="45"/>
      <c r="AC303" s="45"/>
      <c r="AE303" s="45"/>
      <c r="AG303" s="45"/>
      <c r="AI303" s="45"/>
      <c r="AK303" s="45"/>
      <c r="AM303" s="45"/>
      <c r="AO303" s="45"/>
      <c r="AQ303" s="45"/>
    </row>
    <row r="304" spans="1:43" ht="12.75" customHeight="1">
      <c r="A304" s="24"/>
      <c r="C304" s="42"/>
      <c r="D304" s="73"/>
      <c r="E304" s="45"/>
      <c r="F304" s="44"/>
      <c r="G304" s="45"/>
      <c r="I304" s="45"/>
      <c r="K304" s="45"/>
      <c r="M304" s="45"/>
      <c r="O304" s="45"/>
      <c r="Q304" s="45"/>
      <c r="S304" s="45"/>
      <c r="U304" s="45"/>
      <c r="W304" s="45"/>
      <c r="Y304" s="45"/>
      <c r="AA304" s="45"/>
      <c r="AC304" s="45"/>
      <c r="AE304" s="45"/>
      <c r="AG304" s="45"/>
      <c r="AI304" s="45"/>
      <c r="AK304" s="45"/>
      <c r="AM304" s="45"/>
      <c r="AO304" s="45"/>
      <c r="AQ304" s="45"/>
    </row>
    <row r="305" spans="1:43" ht="12.75" customHeight="1">
      <c r="A305" s="24"/>
      <c r="C305" s="42"/>
      <c r="D305" s="73"/>
      <c r="E305" s="45"/>
      <c r="F305" s="44"/>
      <c r="G305" s="45"/>
      <c r="I305" s="45"/>
      <c r="K305" s="45"/>
      <c r="M305" s="45"/>
      <c r="O305" s="45"/>
      <c r="Q305" s="45"/>
      <c r="S305" s="45"/>
      <c r="U305" s="45"/>
      <c r="W305" s="45"/>
      <c r="Y305" s="45"/>
      <c r="AA305" s="45"/>
      <c r="AC305" s="45"/>
      <c r="AE305" s="45"/>
      <c r="AG305" s="45"/>
      <c r="AI305" s="45"/>
      <c r="AK305" s="45"/>
      <c r="AM305" s="45"/>
      <c r="AO305" s="45"/>
      <c r="AQ305" s="45"/>
    </row>
    <row r="306" spans="1:43" ht="12.75" customHeight="1">
      <c r="A306" s="24"/>
      <c r="C306" s="42"/>
      <c r="D306" s="73"/>
      <c r="E306" s="45"/>
      <c r="F306" s="44"/>
      <c r="G306" s="45"/>
      <c r="I306" s="45"/>
      <c r="K306" s="45"/>
      <c r="M306" s="45"/>
      <c r="O306" s="45"/>
      <c r="Q306" s="45"/>
      <c r="S306" s="45"/>
      <c r="U306" s="45"/>
      <c r="W306" s="45"/>
      <c r="Y306" s="45"/>
      <c r="AA306" s="45"/>
      <c r="AC306" s="45"/>
      <c r="AE306" s="45"/>
      <c r="AG306" s="45"/>
      <c r="AI306" s="45"/>
      <c r="AK306" s="45"/>
      <c r="AM306" s="45"/>
      <c r="AO306" s="45"/>
      <c r="AQ306" s="45"/>
    </row>
    <row r="307" spans="1:43" ht="12.75" customHeight="1">
      <c r="A307" s="24"/>
      <c r="C307" s="42"/>
      <c r="D307" s="73"/>
      <c r="E307" s="45"/>
      <c r="F307" s="44"/>
      <c r="G307" s="45"/>
      <c r="I307" s="45"/>
      <c r="K307" s="45"/>
      <c r="M307" s="45"/>
      <c r="O307" s="45"/>
      <c r="Q307" s="45"/>
      <c r="S307" s="45"/>
      <c r="U307" s="45"/>
      <c r="W307" s="45"/>
      <c r="Y307" s="45"/>
      <c r="AA307" s="45"/>
      <c r="AC307" s="45"/>
      <c r="AE307" s="45"/>
      <c r="AG307" s="45"/>
      <c r="AI307" s="45"/>
      <c r="AK307" s="45"/>
      <c r="AM307" s="45"/>
      <c r="AO307" s="45"/>
      <c r="AQ307" s="45"/>
    </row>
    <row r="308" spans="1:43" ht="12.75" customHeight="1">
      <c r="A308" s="24"/>
      <c r="C308" s="42"/>
      <c r="D308" s="73"/>
      <c r="E308" s="45"/>
      <c r="F308" s="44"/>
      <c r="G308" s="45"/>
      <c r="I308" s="45"/>
      <c r="K308" s="45"/>
      <c r="M308" s="45"/>
      <c r="O308" s="45"/>
      <c r="Q308" s="45"/>
      <c r="S308" s="45"/>
      <c r="U308" s="45"/>
      <c r="W308" s="45"/>
      <c r="Y308" s="45"/>
      <c r="AA308" s="45"/>
      <c r="AC308" s="45"/>
      <c r="AE308" s="45"/>
      <c r="AG308" s="45"/>
      <c r="AI308" s="45"/>
      <c r="AK308" s="45"/>
      <c r="AM308" s="45"/>
      <c r="AO308" s="45"/>
      <c r="AQ308" s="45"/>
    </row>
    <row r="309" spans="1:43" ht="12.75" customHeight="1">
      <c r="A309" s="24"/>
      <c r="C309" s="42"/>
      <c r="D309" s="73"/>
      <c r="E309" s="45"/>
      <c r="F309" s="44"/>
      <c r="G309" s="45"/>
      <c r="I309" s="45"/>
      <c r="K309" s="45"/>
      <c r="M309" s="45"/>
      <c r="O309" s="45"/>
      <c r="Q309" s="45"/>
      <c r="S309" s="45"/>
      <c r="U309" s="45"/>
      <c r="W309" s="45"/>
      <c r="Y309" s="45"/>
      <c r="AA309" s="45"/>
      <c r="AC309" s="45"/>
      <c r="AE309" s="45"/>
      <c r="AG309" s="45"/>
      <c r="AI309" s="45"/>
      <c r="AK309" s="45"/>
      <c r="AM309" s="45"/>
      <c r="AO309" s="45"/>
      <c r="AQ309" s="45"/>
    </row>
    <row r="310" spans="1:43" ht="12.75" customHeight="1">
      <c r="A310" s="24"/>
      <c r="C310" s="42"/>
      <c r="D310" s="73"/>
      <c r="E310" s="45"/>
      <c r="F310" s="44"/>
      <c r="G310" s="45"/>
      <c r="I310" s="45"/>
      <c r="K310" s="45"/>
      <c r="M310" s="45"/>
      <c r="O310" s="45"/>
      <c r="Q310" s="45"/>
      <c r="S310" s="45"/>
      <c r="U310" s="45"/>
      <c r="W310" s="45"/>
      <c r="Y310" s="45"/>
      <c r="AA310" s="45"/>
      <c r="AC310" s="45"/>
      <c r="AE310" s="45"/>
      <c r="AG310" s="45"/>
      <c r="AI310" s="45"/>
      <c r="AK310" s="45"/>
      <c r="AM310" s="45"/>
      <c r="AO310" s="45"/>
      <c r="AQ310" s="45"/>
    </row>
    <row r="311" spans="1:43" ht="12.75" customHeight="1">
      <c r="A311" s="24"/>
      <c r="C311" s="42"/>
      <c r="D311" s="73"/>
      <c r="E311" s="45"/>
      <c r="F311" s="44"/>
      <c r="G311" s="45"/>
      <c r="I311" s="45"/>
      <c r="K311" s="45"/>
      <c r="M311" s="45"/>
      <c r="O311" s="45"/>
      <c r="Q311" s="45"/>
      <c r="S311" s="45"/>
      <c r="U311" s="45"/>
      <c r="W311" s="45"/>
      <c r="Y311" s="45"/>
      <c r="AA311" s="45"/>
      <c r="AC311" s="45"/>
      <c r="AE311" s="45"/>
      <c r="AG311" s="45"/>
      <c r="AI311" s="45"/>
      <c r="AK311" s="45"/>
      <c r="AM311" s="45"/>
      <c r="AO311" s="45"/>
      <c r="AQ311" s="45"/>
    </row>
    <row r="312" spans="1:43" ht="12.75" customHeight="1">
      <c r="A312" s="24"/>
      <c r="C312" s="42"/>
      <c r="D312" s="73"/>
      <c r="E312" s="45"/>
      <c r="F312" s="44"/>
      <c r="G312" s="45"/>
      <c r="I312" s="45"/>
      <c r="K312" s="45"/>
      <c r="M312" s="45"/>
      <c r="O312" s="45"/>
      <c r="Q312" s="45"/>
      <c r="S312" s="45"/>
      <c r="U312" s="45"/>
      <c r="W312" s="45"/>
      <c r="Y312" s="45"/>
      <c r="AA312" s="45"/>
      <c r="AC312" s="45"/>
      <c r="AE312" s="45"/>
      <c r="AG312" s="45"/>
      <c r="AI312" s="45"/>
      <c r="AK312" s="45"/>
      <c r="AM312" s="45"/>
      <c r="AO312" s="45"/>
      <c r="AQ312" s="45"/>
    </row>
    <row r="313" spans="1:43" ht="12.75" customHeight="1">
      <c r="A313" s="24"/>
      <c r="C313" s="42"/>
      <c r="D313" s="73"/>
      <c r="E313" s="45"/>
      <c r="F313" s="44"/>
      <c r="G313" s="45"/>
      <c r="I313" s="45"/>
      <c r="K313" s="45"/>
      <c r="M313" s="45"/>
      <c r="O313" s="45"/>
      <c r="Q313" s="45"/>
      <c r="S313" s="45"/>
      <c r="U313" s="45"/>
      <c r="W313" s="45"/>
      <c r="Y313" s="45"/>
      <c r="AA313" s="45"/>
      <c r="AC313" s="45"/>
      <c r="AE313" s="45"/>
      <c r="AG313" s="45"/>
      <c r="AI313" s="45"/>
      <c r="AK313" s="45"/>
      <c r="AM313" s="45"/>
      <c r="AO313" s="45"/>
      <c r="AQ313" s="45"/>
    </row>
    <row r="314" spans="1:43" ht="12.75" customHeight="1">
      <c r="A314" s="24"/>
      <c r="C314" s="42"/>
      <c r="D314" s="73"/>
      <c r="E314" s="45"/>
      <c r="F314" s="44"/>
      <c r="G314" s="45"/>
      <c r="I314" s="45"/>
      <c r="K314" s="45"/>
      <c r="M314" s="45"/>
      <c r="O314" s="45"/>
      <c r="Q314" s="45"/>
      <c r="S314" s="45"/>
      <c r="U314" s="45"/>
      <c r="W314" s="45"/>
      <c r="Y314" s="45"/>
      <c r="AA314" s="45"/>
      <c r="AC314" s="45"/>
      <c r="AE314" s="45"/>
      <c r="AG314" s="45"/>
      <c r="AI314" s="45"/>
      <c r="AK314" s="45"/>
      <c r="AM314" s="45"/>
      <c r="AO314" s="45"/>
      <c r="AQ314" s="45"/>
    </row>
    <row r="315" spans="1:43" ht="12.75" customHeight="1">
      <c r="A315" s="24"/>
      <c r="C315" s="42"/>
      <c r="D315" s="73"/>
      <c r="E315" s="45"/>
      <c r="F315" s="44"/>
      <c r="G315" s="45"/>
      <c r="I315" s="45"/>
      <c r="K315" s="45"/>
      <c r="M315" s="45"/>
      <c r="O315" s="45"/>
      <c r="Q315" s="45"/>
      <c r="S315" s="45"/>
      <c r="U315" s="45"/>
      <c r="W315" s="45"/>
      <c r="Y315" s="45"/>
      <c r="AA315" s="45"/>
      <c r="AC315" s="45"/>
      <c r="AE315" s="45"/>
      <c r="AG315" s="45"/>
      <c r="AI315" s="45"/>
      <c r="AK315" s="45"/>
      <c r="AM315" s="45"/>
      <c r="AO315" s="45"/>
      <c r="AQ315" s="45"/>
    </row>
    <row r="316" spans="1:43" ht="12.75" customHeight="1">
      <c r="A316" s="24"/>
      <c r="C316" s="42"/>
      <c r="D316" s="73"/>
      <c r="E316" s="45"/>
      <c r="F316" s="44"/>
      <c r="G316" s="45"/>
      <c r="I316" s="45"/>
      <c r="K316" s="45"/>
      <c r="M316" s="45"/>
      <c r="O316" s="45"/>
      <c r="Q316" s="45"/>
      <c r="S316" s="45"/>
      <c r="U316" s="45"/>
      <c r="W316" s="45"/>
      <c r="Y316" s="45"/>
      <c r="AA316" s="45"/>
      <c r="AC316" s="45"/>
      <c r="AE316" s="45"/>
      <c r="AG316" s="45"/>
      <c r="AI316" s="45"/>
      <c r="AK316" s="45"/>
      <c r="AM316" s="45"/>
      <c r="AO316" s="45"/>
      <c r="AQ316" s="45"/>
    </row>
    <row r="317" spans="1:43" ht="12.75" customHeight="1">
      <c r="A317" s="24"/>
      <c r="C317" s="42"/>
      <c r="D317" s="73"/>
      <c r="E317" s="45"/>
      <c r="F317" s="44"/>
      <c r="G317" s="45"/>
      <c r="I317" s="45"/>
      <c r="K317" s="45"/>
      <c r="M317" s="45"/>
      <c r="O317" s="45"/>
      <c r="Q317" s="45"/>
      <c r="S317" s="45"/>
      <c r="U317" s="45"/>
      <c r="W317" s="45"/>
      <c r="Y317" s="45"/>
      <c r="AA317" s="45"/>
      <c r="AC317" s="45"/>
      <c r="AE317" s="45"/>
      <c r="AG317" s="45"/>
      <c r="AI317" s="45"/>
      <c r="AK317" s="45"/>
      <c r="AM317" s="45"/>
      <c r="AO317" s="45"/>
      <c r="AQ317" s="45"/>
    </row>
    <row r="318" spans="1:43" ht="12.75" customHeight="1">
      <c r="A318" s="24"/>
      <c r="C318" s="42"/>
      <c r="D318" s="73"/>
      <c r="E318" s="45"/>
      <c r="F318" s="44"/>
      <c r="G318" s="45"/>
      <c r="I318" s="45"/>
      <c r="K318" s="45"/>
      <c r="M318" s="45"/>
      <c r="O318" s="45"/>
      <c r="Q318" s="45"/>
      <c r="S318" s="45"/>
      <c r="U318" s="45"/>
      <c r="W318" s="45"/>
      <c r="Y318" s="45"/>
      <c r="AA318" s="45"/>
      <c r="AC318" s="45"/>
      <c r="AE318" s="45"/>
      <c r="AG318" s="45"/>
      <c r="AI318" s="45"/>
      <c r="AK318" s="45"/>
      <c r="AM318" s="45"/>
      <c r="AO318" s="45"/>
      <c r="AQ318" s="45"/>
    </row>
    <row r="319" spans="1:43" ht="12.75" customHeight="1">
      <c r="A319" s="24"/>
      <c r="C319" s="42"/>
      <c r="D319" s="73"/>
      <c r="E319" s="45"/>
      <c r="F319" s="44"/>
      <c r="G319" s="45"/>
      <c r="I319" s="45"/>
      <c r="K319" s="45"/>
      <c r="M319" s="45"/>
      <c r="O319" s="45"/>
      <c r="Q319" s="45"/>
      <c r="S319" s="45"/>
      <c r="U319" s="45"/>
      <c r="W319" s="45"/>
      <c r="Y319" s="45"/>
      <c r="AA319" s="45"/>
      <c r="AC319" s="45"/>
      <c r="AE319" s="45"/>
      <c r="AG319" s="45"/>
      <c r="AI319" s="45"/>
      <c r="AK319" s="45"/>
      <c r="AM319" s="45"/>
      <c r="AO319" s="45"/>
      <c r="AQ319" s="45"/>
    </row>
    <row r="320" spans="1:43" ht="12.75" customHeight="1">
      <c r="A320" s="24"/>
      <c r="C320" s="42"/>
      <c r="D320" s="73"/>
      <c r="E320" s="45"/>
      <c r="F320" s="44"/>
      <c r="G320" s="45"/>
      <c r="I320" s="45"/>
      <c r="K320" s="45"/>
      <c r="M320" s="45"/>
      <c r="O320" s="45"/>
      <c r="Q320" s="45"/>
      <c r="S320" s="45"/>
      <c r="U320" s="45"/>
      <c r="W320" s="45"/>
      <c r="Y320" s="45"/>
      <c r="AA320" s="45"/>
      <c r="AC320" s="45"/>
      <c r="AE320" s="45"/>
      <c r="AG320" s="45"/>
      <c r="AI320" s="45"/>
      <c r="AK320" s="45"/>
      <c r="AM320" s="45"/>
      <c r="AO320" s="45"/>
      <c r="AQ320" s="45"/>
    </row>
    <row r="321" spans="1:43" ht="12.75" customHeight="1">
      <c r="A321" s="24"/>
      <c r="C321" s="42"/>
      <c r="D321" s="73"/>
      <c r="E321" s="45"/>
      <c r="F321" s="44"/>
      <c r="G321" s="45"/>
      <c r="I321" s="45"/>
      <c r="K321" s="45"/>
      <c r="M321" s="45"/>
      <c r="O321" s="45"/>
      <c r="Q321" s="45"/>
      <c r="S321" s="45"/>
      <c r="U321" s="45"/>
      <c r="W321" s="45"/>
      <c r="Y321" s="45"/>
      <c r="AA321" s="45"/>
      <c r="AC321" s="45"/>
      <c r="AE321" s="45"/>
      <c r="AG321" s="45"/>
      <c r="AI321" s="45"/>
      <c r="AK321" s="45"/>
      <c r="AM321" s="45"/>
      <c r="AO321" s="45"/>
      <c r="AQ321" s="45"/>
    </row>
    <row r="322" spans="1:43" ht="12.75" customHeight="1">
      <c r="A322" s="24"/>
      <c r="C322" s="42"/>
      <c r="D322" s="73"/>
      <c r="E322" s="45"/>
      <c r="F322" s="44"/>
      <c r="G322" s="45"/>
      <c r="I322" s="45"/>
      <c r="K322" s="45"/>
      <c r="M322" s="45"/>
      <c r="O322" s="45"/>
      <c r="Q322" s="45"/>
      <c r="S322" s="45"/>
      <c r="U322" s="45"/>
      <c r="W322" s="45"/>
      <c r="Y322" s="45"/>
      <c r="AA322" s="45"/>
      <c r="AC322" s="45"/>
      <c r="AE322" s="45"/>
      <c r="AG322" s="45"/>
      <c r="AI322" s="45"/>
      <c r="AK322" s="45"/>
      <c r="AM322" s="45"/>
      <c r="AO322" s="45"/>
      <c r="AQ322" s="45"/>
    </row>
    <row r="323" spans="1:43" ht="12.75" customHeight="1">
      <c r="A323" s="24"/>
      <c r="C323" s="42"/>
      <c r="D323" s="73"/>
      <c r="E323" s="45"/>
      <c r="F323" s="44"/>
      <c r="G323" s="45"/>
      <c r="I323" s="45"/>
      <c r="K323" s="45"/>
      <c r="M323" s="45"/>
      <c r="O323" s="45"/>
      <c r="Q323" s="45"/>
      <c r="S323" s="45"/>
      <c r="U323" s="45"/>
      <c r="W323" s="45"/>
      <c r="Y323" s="45"/>
      <c r="AA323" s="45"/>
      <c r="AC323" s="45"/>
      <c r="AE323" s="45"/>
      <c r="AG323" s="45"/>
      <c r="AI323" s="45"/>
      <c r="AK323" s="45"/>
      <c r="AM323" s="45"/>
      <c r="AO323" s="45"/>
      <c r="AQ323" s="45"/>
    </row>
    <row r="324" spans="1:43" ht="12.75" customHeight="1">
      <c r="A324" s="24"/>
      <c r="C324" s="42"/>
      <c r="D324" s="73"/>
      <c r="E324" s="45"/>
      <c r="F324" s="44"/>
      <c r="G324" s="45"/>
      <c r="I324" s="45"/>
      <c r="K324" s="45"/>
      <c r="M324" s="45"/>
      <c r="O324" s="45"/>
      <c r="Q324" s="45"/>
      <c r="S324" s="45"/>
      <c r="U324" s="45"/>
      <c r="W324" s="45"/>
      <c r="Y324" s="45"/>
      <c r="AA324" s="45"/>
      <c r="AC324" s="45"/>
      <c r="AE324" s="45"/>
      <c r="AG324" s="45"/>
      <c r="AI324" s="45"/>
      <c r="AK324" s="45"/>
      <c r="AM324" s="45"/>
      <c r="AO324" s="45"/>
      <c r="AQ324" s="45"/>
    </row>
    <row r="325" spans="1:43" ht="12.75" customHeight="1">
      <c r="A325" s="24"/>
      <c r="C325" s="42"/>
      <c r="D325" s="73"/>
      <c r="E325" s="45"/>
      <c r="F325" s="44"/>
      <c r="G325" s="45"/>
      <c r="I325" s="45"/>
      <c r="K325" s="45"/>
      <c r="M325" s="45"/>
      <c r="O325" s="45"/>
      <c r="Q325" s="45"/>
      <c r="S325" s="45"/>
      <c r="U325" s="45"/>
      <c r="W325" s="45"/>
      <c r="Y325" s="45"/>
      <c r="AA325" s="45"/>
      <c r="AC325" s="45"/>
      <c r="AE325" s="45"/>
      <c r="AG325" s="45"/>
      <c r="AI325" s="45"/>
      <c r="AK325" s="45"/>
      <c r="AM325" s="45"/>
      <c r="AO325" s="45"/>
      <c r="AQ325" s="45"/>
    </row>
    <row r="326" spans="1:43" ht="12.75" customHeight="1">
      <c r="A326" s="24"/>
      <c r="C326" s="42"/>
      <c r="D326" s="73"/>
      <c r="E326" s="45"/>
      <c r="F326" s="44"/>
      <c r="G326" s="45"/>
      <c r="I326" s="45"/>
      <c r="K326" s="45"/>
      <c r="M326" s="45"/>
      <c r="O326" s="45"/>
      <c r="Q326" s="45"/>
      <c r="S326" s="45"/>
      <c r="U326" s="45"/>
      <c r="W326" s="45"/>
      <c r="Y326" s="45"/>
      <c r="AA326" s="45"/>
      <c r="AC326" s="45"/>
      <c r="AE326" s="45"/>
      <c r="AG326" s="45"/>
      <c r="AI326" s="45"/>
      <c r="AK326" s="45"/>
      <c r="AM326" s="45"/>
      <c r="AO326" s="45"/>
      <c r="AQ326" s="45"/>
    </row>
    <row r="327" spans="1:43" ht="12.75" customHeight="1">
      <c r="A327" s="24"/>
      <c r="C327" s="42"/>
      <c r="D327" s="73"/>
      <c r="E327" s="45"/>
      <c r="F327" s="44"/>
      <c r="G327" s="45"/>
      <c r="I327" s="45"/>
      <c r="K327" s="45"/>
      <c r="M327" s="45"/>
      <c r="O327" s="45"/>
      <c r="Q327" s="45"/>
      <c r="S327" s="45"/>
      <c r="U327" s="45"/>
      <c r="W327" s="45"/>
      <c r="Y327" s="45"/>
      <c r="AA327" s="45"/>
      <c r="AC327" s="45"/>
      <c r="AE327" s="45"/>
      <c r="AG327" s="45"/>
      <c r="AI327" s="45"/>
      <c r="AK327" s="45"/>
      <c r="AM327" s="45"/>
      <c r="AO327" s="45"/>
      <c r="AQ327" s="45"/>
    </row>
    <row r="328" spans="1:43" ht="12.75" customHeight="1">
      <c r="A328" s="24"/>
      <c r="C328" s="42"/>
      <c r="D328" s="73"/>
      <c r="E328" s="45"/>
      <c r="F328" s="44"/>
      <c r="G328" s="45"/>
      <c r="I328" s="45"/>
      <c r="K328" s="45"/>
      <c r="M328" s="45"/>
      <c r="O328" s="45"/>
      <c r="Q328" s="45"/>
      <c r="S328" s="45"/>
      <c r="U328" s="45"/>
      <c r="W328" s="45"/>
      <c r="Y328" s="45"/>
      <c r="AA328" s="45"/>
      <c r="AC328" s="45"/>
      <c r="AE328" s="45"/>
      <c r="AG328" s="45"/>
      <c r="AI328" s="45"/>
      <c r="AK328" s="45"/>
      <c r="AM328" s="45"/>
      <c r="AO328" s="45"/>
      <c r="AQ328" s="45"/>
    </row>
    <row r="329" spans="1:43" ht="12.75" customHeight="1">
      <c r="A329" s="24"/>
      <c r="C329" s="42"/>
      <c r="D329" s="73"/>
      <c r="E329" s="45"/>
      <c r="F329" s="44"/>
      <c r="G329" s="45"/>
      <c r="I329" s="45"/>
      <c r="K329" s="45"/>
      <c r="M329" s="45"/>
      <c r="O329" s="45"/>
      <c r="Q329" s="45"/>
      <c r="S329" s="45"/>
      <c r="U329" s="45"/>
      <c r="W329" s="45"/>
      <c r="Y329" s="45"/>
      <c r="AA329" s="45"/>
      <c r="AC329" s="45"/>
      <c r="AE329" s="45"/>
      <c r="AG329" s="45"/>
      <c r="AI329" s="45"/>
      <c r="AK329" s="45"/>
      <c r="AM329" s="45"/>
      <c r="AO329" s="45"/>
      <c r="AQ329" s="45"/>
    </row>
    <row r="330" spans="1:43" ht="12.75" customHeight="1">
      <c r="A330" s="24"/>
      <c r="C330" s="42"/>
      <c r="D330" s="73"/>
      <c r="E330" s="45"/>
      <c r="F330" s="44"/>
      <c r="G330" s="45"/>
      <c r="I330" s="45"/>
      <c r="K330" s="45"/>
      <c r="M330" s="45"/>
      <c r="O330" s="45"/>
      <c r="Q330" s="45"/>
      <c r="S330" s="45"/>
      <c r="U330" s="45"/>
      <c r="W330" s="45"/>
      <c r="Y330" s="45"/>
      <c r="AA330" s="45"/>
      <c r="AC330" s="45"/>
      <c r="AE330" s="45"/>
      <c r="AG330" s="45"/>
      <c r="AI330" s="45"/>
      <c r="AK330" s="45"/>
      <c r="AM330" s="45"/>
      <c r="AO330" s="45"/>
      <c r="AQ330" s="45"/>
    </row>
    <row r="331" spans="1:43" ht="12.75" customHeight="1">
      <c r="A331" s="24"/>
      <c r="C331" s="42"/>
      <c r="D331" s="73"/>
      <c r="E331" s="45"/>
      <c r="F331" s="44"/>
      <c r="G331" s="45"/>
      <c r="I331" s="45"/>
      <c r="K331" s="45"/>
      <c r="M331" s="45"/>
      <c r="O331" s="45"/>
      <c r="Q331" s="45"/>
      <c r="S331" s="45"/>
      <c r="U331" s="45"/>
      <c r="W331" s="45"/>
      <c r="Y331" s="45"/>
      <c r="AA331" s="45"/>
      <c r="AC331" s="45"/>
      <c r="AE331" s="45"/>
      <c r="AG331" s="45"/>
      <c r="AI331" s="45"/>
      <c r="AK331" s="45"/>
      <c r="AM331" s="45"/>
      <c r="AO331" s="45"/>
      <c r="AQ331" s="45"/>
    </row>
    <row r="332" spans="1:43" ht="12.75" customHeight="1">
      <c r="A332" s="24"/>
      <c r="C332" s="42"/>
      <c r="D332" s="73"/>
      <c r="E332" s="45"/>
      <c r="F332" s="44"/>
      <c r="G332" s="45"/>
      <c r="I332" s="45"/>
      <c r="K332" s="45"/>
      <c r="M332" s="45"/>
      <c r="O332" s="45"/>
      <c r="Q332" s="45"/>
      <c r="S332" s="45"/>
      <c r="U332" s="45"/>
      <c r="W332" s="45"/>
      <c r="Y332" s="45"/>
      <c r="AA332" s="45"/>
      <c r="AC332" s="45"/>
      <c r="AE332" s="45"/>
      <c r="AG332" s="45"/>
      <c r="AI332" s="45"/>
      <c r="AK332" s="45"/>
      <c r="AM332" s="45"/>
      <c r="AO332" s="45"/>
      <c r="AQ332" s="45"/>
    </row>
    <row r="333" spans="1:43" ht="12.75" customHeight="1">
      <c r="A333" s="24"/>
      <c r="C333" s="42"/>
      <c r="D333" s="73"/>
      <c r="E333" s="45"/>
      <c r="F333" s="44"/>
      <c r="G333" s="45"/>
      <c r="I333" s="45"/>
      <c r="K333" s="45"/>
      <c r="M333" s="45"/>
      <c r="O333" s="45"/>
      <c r="Q333" s="45"/>
      <c r="S333" s="45"/>
      <c r="U333" s="45"/>
      <c r="W333" s="45"/>
      <c r="Y333" s="45"/>
      <c r="AA333" s="45"/>
      <c r="AC333" s="45"/>
      <c r="AE333" s="45"/>
      <c r="AG333" s="45"/>
      <c r="AI333" s="45"/>
      <c r="AK333" s="45"/>
      <c r="AM333" s="45"/>
      <c r="AO333" s="45"/>
      <c r="AQ333" s="45"/>
    </row>
    <row r="334" spans="1:43" ht="12.75" customHeight="1">
      <c r="A334" s="24"/>
      <c r="C334" s="42"/>
      <c r="D334" s="73"/>
      <c r="E334" s="45"/>
      <c r="F334" s="44"/>
      <c r="G334" s="45"/>
      <c r="I334" s="45"/>
      <c r="K334" s="45"/>
      <c r="M334" s="45"/>
      <c r="O334" s="45"/>
      <c r="Q334" s="45"/>
      <c r="S334" s="45"/>
      <c r="U334" s="45"/>
      <c r="W334" s="45"/>
      <c r="Y334" s="45"/>
      <c r="AA334" s="45"/>
      <c r="AC334" s="45"/>
      <c r="AE334" s="45"/>
      <c r="AG334" s="45"/>
      <c r="AI334" s="45"/>
      <c r="AK334" s="45"/>
      <c r="AM334" s="45"/>
      <c r="AO334" s="45"/>
      <c r="AQ334" s="45"/>
    </row>
    <row r="335" spans="1:43" ht="12.75" customHeight="1">
      <c r="A335" s="24"/>
      <c r="C335" s="42"/>
      <c r="D335" s="73"/>
      <c r="E335" s="45"/>
      <c r="F335" s="44"/>
      <c r="G335" s="45"/>
      <c r="I335" s="45"/>
      <c r="K335" s="45"/>
      <c r="M335" s="45"/>
      <c r="O335" s="45"/>
      <c r="Q335" s="45"/>
      <c r="S335" s="45"/>
      <c r="U335" s="45"/>
      <c r="W335" s="45"/>
      <c r="Y335" s="45"/>
      <c r="AA335" s="45"/>
      <c r="AC335" s="45"/>
      <c r="AE335" s="45"/>
      <c r="AG335" s="45"/>
      <c r="AI335" s="45"/>
      <c r="AK335" s="45"/>
      <c r="AM335" s="45"/>
      <c r="AO335" s="45"/>
      <c r="AQ335" s="45"/>
    </row>
    <row r="336" spans="1:43" ht="12.75" customHeight="1">
      <c r="A336" s="24"/>
      <c r="C336" s="42"/>
      <c r="D336" s="73"/>
      <c r="E336" s="45"/>
      <c r="F336" s="44"/>
      <c r="G336" s="45"/>
      <c r="I336" s="45"/>
      <c r="K336" s="45"/>
      <c r="M336" s="45"/>
      <c r="O336" s="45"/>
      <c r="Q336" s="45"/>
      <c r="S336" s="45"/>
      <c r="U336" s="45"/>
      <c r="W336" s="45"/>
      <c r="Y336" s="45"/>
      <c r="AA336" s="45"/>
      <c r="AC336" s="45"/>
      <c r="AE336" s="45"/>
      <c r="AG336" s="45"/>
      <c r="AI336" s="45"/>
      <c r="AK336" s="45"/>
      <c r="AM336" s="45"/>
      <c r="AO336" s="45"/>
      <c r="AQ336" s="45"/>
    </row>
    <row r="337" spans="1:43" ht="12.75" customHeight="1">
      <c r="A337" s="24"/>
      <c r="C337" s="42"/>
      <c r="D337" s="73"/>
      <c r="E337" s="45"/>
      <c r="F337" s="44"/>
      <c r="G337" s="45"/>
      <c r="I337" s="45"/>
      <c r="K337" s="45"/>
      <c r="M337" s="45"/>
      <c r="O337" s="45"/>
      <c r="Q337" s="45"/>
      <c r="S337" s="45"/>
      <c r="U337" s="45"/>
      <c r="W337" s="45"/>
      <c r="Y337" s="45"/>
      <c r="AA337" s="45"/>
      <c r="AC337" s="45"/>
      <c r="AE337" s="45"/>
      <c r="AG337" s="45"/>
      <c r="AI337" s="45"/>
      <c r="AK337" s="45"/>
      <c r="AM337" s="45"/>
      <c r="AO337" s="45"/>
      <c r="AQ337" s="45"/>
    </row>
    <row r="338" spans="1:43" ht="12.75" customHeight="1">
      <c r="A338" s="24"/>
      <c r="C338" s="42"/>
      <c r="D338" s="73"/>
      <c r="E338" s="45"/>
      <c r="F338" s="44"/>
      <c r="G338" s="45"/>
      <c r="I338" s="45"/>
      <c r="K338" s="45"/>
      <c r="M338" s="45"/>
      <c r="O338" s="45"/>
      <c r="Q338" s="45"/>
      <c r="S338" s="45"/>
      <c r="U338" s="45"/>
      <c r="W338" s="45"/>
      <c r="Y338" s="45"/>
      <c r="AA338" s="45"/>
      <c r="AC338" s="45"/>
      <c r="AE338" s="45"/>
      <c r="AG338" s="45"/>
      <c r="AI338" s="45"/>
      <c r="AK338" s="45"/>
      <c r="AM338" s="45"/>
      <c r="AO338" s="45"/>
      <c r="AQ338" s="45"/>
    </row>
    <row r="339" spans="1:43" ht="12.75" customHeight="1">
      <c r="A339" s="24"/>
      <c r="C339" s="42"/>
      <c r="D339" s="73"/>
      <c r="E339" s="45"/>
      <c r="F339" s="44"/>
      <c r="G339" s="45"/>
      <c r="I339" s="45"/>
      <c r="K339" s="45"/>
      <c r="M339" s="45"/>
      <c r="O339" s="45"/>
      <c r="Q339" s="45"/>
      <c r="W339" s="45"/>
      <c r="Y339" s="45"/>
      <c r="AA339" s="45"/>
      <c r="AE339" s="45"/>
      <c r="AG339" s="45"/>
      <c r="AI339" s="45"/>
      <c r="AK339" s="45"/>
      <c r="AM339" s="45"/>
    </row>
    <row r="340" spans="1:43" ht="12.75" customHeight="1">
      <c r="A340" s="24"/>
      <c r="C340" s="42"/>
      <c r="D340" s="73"/>
      <c r="E340" s="45"/>
      <c r="F340" s="44"/>
      <c r="G340" s="45"/>
      <c r="I340" s="45"/>
      <c r="K340" s="45"/>
      <c r="M340" s="45"/>
      <c r="O340" s="45"/>
      <c r="Q340" s="45"/>
      <c r="W340" s="45"/>
      <c r="Y340" s="45"/>
      <c r="AA340" s="45"/>
      <c r="AE340" s="45"/>
      <c r="AG340" s="45"/>
      <c r="AI340" s="45"/>
      <c r="AK340" s="45"/>
      <c r="AM340" s="45"/>
    </row>
    <row r="341" spans="1:43" ht="12.75" customHeight="1">
      <c r="A341" s="24"/>
      <c r="C341" s="42"/>
      <c r="D341" s="73"/>
      <c r="E341" s="45"/>
      <c r="F341" s="44"/>
      <c r="G341" s="45"/>
      <c r="I341" s="45"/>
      <c r="K341" s="45"/>
      <c r="M341" s="45"/>
      <c r="O341" s="45"/>
      <c r="Q341" s="45"/>
      <c r="W341" s="45"/>
      <c r="Y341" s="45"/>
      <c r="AA341" s="45"/>
      <c r="AE341" s="45"/>
      <c r="AG341" s="45"/>
      <c r="AI341" s="45"/>
      <c r="AK341" s="45"/>
      <c r="AM341" s="45"/>
    </row>
    <row r="342" spans="1:43" ht="12.75" customHeight="1">
      <c r="A342" s="24"/>
      <c r="C342" s="42"/>
      <c r="D342" s="73"/>
      <c r="E342" s="45"/>
      <c r="F342" s="44"/>
      <c r="G342" s="45"/>
      <c r="I342" s="45"/>
      <c r="K342" s="45"/>
      <c r="M342" s="45"/>
      <c r="O342" s="45"/>
      <c r="Q342" s="45"/>
      <c r="W342" s="45"/>
      <c r="Y342" s="45"/>
      <c r="AA342" s="45"/>
      <c r="AE342" s="45"/>
      <c r="AG342" s="45"/>
      <c r="AI342" s="45"/>
      <c r="AK342" s="45"/>
      <c r="AM342" s="45"/>
    </row>
    <row r="343" spans="1:43" ht="12.75" customHeight="1">
      <c r="A343" s="24"/>
      <c r="C343" s="42"/>
      <c r="D343" s="73"/>
      <c r="E343" s="45"/>
      <c r="F343" s="44"/>
      <c r="G343" s="45"/>
      <c r="I343" s="45"/>
      <c r="K343" s="45"/>
      <c r="M343" s="45"/>
      <c r="O343" s="45"/>
      <c r="Q343" s="45"/>
      <c r="W343" s="45"/>
      <c r="Y343" s="45"/>
      <c r="AA343" s="45"/>
      <c r="AE343" s="45"/>
      <c r="AG343" s="45"/>
      <c r="AI343" s="45"/>
      <c r="AK343" s="45"/>
      <c r="AM343" s="45"/>
    </row>
    <row r="344" spans="1:43" ht="12.75" customHeight="1">
      <c r="A344" s="24"/>
      <c r="C344" s="42"/>
      <c r="D344" s="73"/>
      <c r="E344" s="45"/>
      <c r="F344" s="44"/>
      <c r="G344" s="45"/>
      <c r="I344" s="45"/>
      <c r="K344" s="45"/>
      <c r="M344" s="45"/>
      <c r="O344" s="45"/>
      <c r="Q344" s="45"/>
      <c r="W344" s="45"/>
      <c r="Y344" s="45"/>
      <c r="AA344" s="45"/>
      <c r="AE344" s="45"/>
      <c r="AG344" s="45"/>
      <c r="AI344" s="45"/>
      <c r="AK344" s="45"/>
      <c r="AM344" s="45"/>
    </row>
    <row r="345" spans="1:43" ht="12.75" customHeight="1">
      <c r="A345" s="24"/>
      <c r="C345" s="42"/>
      <c r="D345" s="73"/>
      <c r="E345" s="45"/>
      <c r="F345" s="44"/>
      <c r="G345" s="45"/>
      <c r="I345" s="45"/>
      <c r="K345" s="45"/>
      <c r="M345" s="45"/>
      <c r="O345" s="45"/>
      <c r="Q345" s="45"/>
      <c r="W345" s="45"/>
      <c r="Y345" s="45"/>
      <c r="AA345" s="45"/>
      <c r="AE345" s="45"/>
      <c r="AG345" s="45"/>
      <c r="AI345" s="45"/>
      <c r="AK345" s="45"/>
      <c r="AM345" s="45"/>
    </row>
    <row r="346" spans="1:43" ht="12.75" customHeight="1">
      <c r="A346" s="24"/>
      <c r="C346" s="42"/>
      <c r="D346" s="73"/>
      <c r="E346" s="45"/>
      <c r="F346" s="44"/>
      <c r="G346" s="45"/>
      <c r="I346" s="45"/>
      <c r="K346" s="45"/>
      <c r="M346" s="45"/>
      <c r="O346" s="45"/>
      <c r="Q346" s="45"/>
      <c r="W346" s="45"/>
      <c r="Y346" s="45"/>
      <c r="AA346" s="45"/>
      <c r="AE346" s="45"/>
      <c r="AG346" s="45"/>
      <c r="AI346" s="45"/>
      <c r="AK346" s="45"/>
      <c r="AM346" s="45"/>
    </row>
    <row r="347" spans="1:43" ht="12.75" customHeight="1">
      <c r="A347" s="24"/>
      <c r="C347" s="42"/>
      <c r="D347" s="73"/>
      <c r="E347" s="45"/>
      <c r="F347" s="44"/>
      <c r="G347" s="45"/>
      <c r="I347" s="45"/>
      <c r="K347" s="45"/>
      <c r="M347" s="45"/>
      <c r="O347" s="45"/>
      <c r="Q347" s="45"/>
      <c r="W347" s="45"/>
      <c r="Y347" s="45"/>
      <c r="AA347" s="45"/>
      <c r="AE347" s="45"/>
      <c r="AG347" s="45"/>
      <c r="AI347" s="45"/>
      <c r="AK347" s="45"/>
      <c r="AM347" s="45"/>
    </row>
    <row r="348" spans="1:43" ht="12.75" customHeight="1">
      <c r="A348" s="24"/>
      <c r="C348" s="42"/>
      <c r="D348" s="73"/>
      <c r="E348" s="45"/>
      <c r="F348" s="44"/>
      <c r="G348" s="45"/>
      <c r="I348" s="45"/>
      <c r="K348" s="45"/>
      <c r="M348" s="45"/>
      <c r="O348" s="45"/>
      <c r="Q348" s="45"/>
      <c r="W348" s="45"/>
      <c r="Y348" s="45"/>
      <c r="AA348" s="45"/>
      <c r="AE348" s="45"/>
      <c r="AG348" s="45"/>
      <c r="AI348" s="45"/>
      <c r="AK348" s="45"/>
      <c r="AM348" s="45"/>
    </row>
    <row r="349" spans="1:43" ht="12.75" customHeight="1">
      <c r="A349" s="24"/>
      <c r="C349" s="42"/>
      <c r="D349" s="73"/>
      <c r="E349" s="45"/>
      <c r="F349" s="44"/>
      <c r="G349" s="45"/>
      <c r="I349" s="45"/>
      <c r="K349" s="45"/>
      <c r="M349" s="45"/>
      <c r="O349" s="45"/>
      <c r="Q349" s="45"/>
      <c r="W349" s="45"/>
      <c r="Y349" s="45"/>
      <c r="AA349" s="45"/>
      <c r="AE349" s="45"/>
      <c r="AG349" s="45"/>
      <c r="AI349" s="45"/>
      <c r="AK349" s="45"/>
      <c r="AM349" s="45"/>
    </row>
    <row r="350" spans="1:43" ht="12.75" customHeight="1">
      <c r="A350" s="24"/>
      <c r="C350" s="42"/>
      <c r="D350" s="73"/>
      <c r="E350" s="45"/>
      <c r="F350" s="44"/>
      <c r="G350" s="45"/>
      <c r="I350" s="45"/>
      <c r="K350" s="45"/>
      <c r="M350" s="45"/>
      <c r="O350" s="45"/>
      <c r="Q350" s="45"/>
      <c r="W350" s="45"/>
      <c r="Y350" s="45"/>
      <c r="AA350" s="45"/>
      <c r="AE350" s="45"/>
      <c r="AG350" s="45"/>
      <c r="AI350" s="45"/>
      <c r="AK350" s="45"/>
      <c r="AM350" s="45"/>
    </row>
    <row r="351" spans="1:43" ht="12.75" customHeight="1">
      <c r="A351" s="24"/>
      <c r="C351" s="42"/>
      <c r="D351" s="73"/>
      <c r="E351" s="45"/>
      <c r="F351" s="44"/>
      <c r="G351" s="45"/>
      <c r="I351" s="45"/>
      <c r="K351" s="45"/>
      <c r="M351" s="45"/>
      <c r="O351" s="45"/>
      <c r="Q351" s="45"/>
      <c r="W351" s="45"/>
      <c r="Y351" s="45"/>
      <c r="AA351" s="45"/>
      <c r="AE351" s="45"/>
      <c r="AG351" s="45"/>
      <c r="AI351" s="45"/>
      <c r="AK351" s="45"/>
      <c r="AM351" s="45"/>
    </row>
    <row r="352" spans="1:43" ht="12.75" customHeight="1">
      <c r="A352" s="24"/>
      <c r="C352" s="42"/>
      <c r="D352" s="73"/>
      <c r="E352" s="45"/>
      <c r="F352" s="44"/>
      <c r="G352" s="45"/>
      <c r="I352" s="45"/>
      <c r="K352" s="45"/>
      <c r="M352" s="45"/>
      <c r="O352" s="45"/>
      <c r="Q352" s="45"/>
      <c r="W352" s="45"/>
      <c r="Y352" s="45"/>
      <c r="AA352" s="45"/>
      <c r="AE352" s="45"/>
      <c r="AG352" s="45"/>
      <c r="AI352" s="45"/>
      <c r="AK352" s="45"/>
      <c r="AM352" s="45"/>
    </row>
    <row r="353" spans="1:39" ht="12.75" customHeight="1">
      <c r="A353" s="24"/>
      <c r="C353" s="42"/>
      <c r="D353" s="73"/>
      <c r="E353" s="45"/>
      <c r="F353" s="44"/>
      <c r="G353" s="45"/>
      <c r="I353" s="45"/>
      <c r="K353" s="45"/>
      <c r="M353" s="45"/>
      <c r="O353" s="45"/>
      <c r="Q353" s="45"/>
      <c r="W353" s="45"/>
      <c r="Y353" s="45"/>
      <c r="AA353" s="45"/>
      <c r="AE353" s="45"/>
      <c r="AG353" s="45"/>
      <c r="AI353" s="45"/>
      <c r="AK353" s="45"/>
      <c r="AM353" s="45"/>
    </row>
    <row r="354" spans="1:39" ht="12.75" customHeight="1">
      <c r="A354" s="24"/>
      <c r="C354" s="42"/>
      <c r="D354" s="73"/>
      <c r="E354" s="45"/>
      <c r="F354" s="44"/>
      <c r="G354" s="45"/>
      <c r="I354" s="45"/>
      <c r="K354" s="45"/>
      <c r="M354" s="45"/>
      <c r="O354" s="45"/>
      <c r="Q354" s="45"/>
      <c r="W354" s="45"/>
      <c r="Y354" s="45"/>
      <c r="AA354" s="45"/>
      <c r="AE354" s="45"/>
      <c r="AG354" s="45"/>
      <c r="AI354" s="45"/>
      <c r="AK354" s="45"/>
      <c r="AM354" s="45"/>
    </row>
    <row r="355" spans="1:39" ht="12.75" customHeight="1">
      <c r="A355" s="24"/>
      <c r="C355" s="42"/>
      <c r="D355" s="73"/>
      <c r="E355" s="45"/>
      <c r="F355" s="44"/>
      <c r="G355" s="45"/>
      <c r="I355" s="45"/>
      <c r="K355" s="45"/>
      <c r="M355" s="45"/>
      <c r="O355" s="45"/>
      <c r="Q355" s="45"/>
      <c r="W355" s="45"/>
      <c r="Y355" s="45"/>
      <c r="AA355" s="45"/>
      <c r="AE355" s="45"/>
      <c r="AG355" s="45"/>
      <c r="AI355" s="45"/>
      <c r="AK355" s="45"/>
      <c r="AM355" s="45"/>
    </row>
    <row r="356" spans="1:39" ht="12.75" customHeight="1">
      <c r="A356" s="24"/>
      <c r="C356" s="42"/>
      <c r="D356" s="73"/>
      <c r="E356" s="45"/>
      <c r="F356" s="44"/>
      <c r="G356" s="45"/>
      <c r="I356" s="45"/>
      <c r="K356" s="45"/>
      <c r="M356" s="45"/>
      <c r="O356" s="45"/>
      <c r="Q356" s="45"/>
      <c r="W356" s="45"/>
      <c r="Y356" s="45"/>
      <c r="AA356" s="45"/>
      <c r="AE356" s="45"/>
      <c r="AG356" s="45"/>
      <c r="AI356" s="45"/>
      <c r="AK356" s="45"/>
      <c r="AM356" s="45"/>
    </row>
    <row r="357" spans="1:39" ht="12.75" customHeight="1">
      <c r="A357" s="24"/>
      <c r="C357" s="42"/>
      <c r="D357" s="73"/>
      <c r="E357" s="45"/>
      <c r="F357" s="44"/>
      <c r="G357" s="45"/>
      <c r="I357" s="45"/>
      <c r="K357" s="45"/>
      <c r="M357" s="45"/>
      <c r="O357" s="45"/>
      <c r="Q357" s="45"/>
      <c r="W357" s="45"/>
      <c r="Y357" s="45"/>
      <c r="AA357" s="45"/>
      <c r="AE357" s="45"/>
      <c r="AG357" s="45"/>
      <c r="AI357" s="45"/>
      <c r="AK357" s="45"/>
      <c r="AM357" s="45"/>
    </row>
    <row r="358" spans="1:39" ht="12.75" customHeight="1">
      <c r="A358" s="24"/>
      <c r="C358" s="42"/>
      <c r="D358" s="73"/>
      <c r="E358" s="45"/>
      <c r="F358" s="44"/>
      <c r="G358" s="45"/>
      <c r="I358" s="45"/>
      <c r="K358" s="45"/>
      <c r="M358" s="45"/>
      <c r="O358" s="45"/>
      <c r="Q358" s="45"/>
      <c r="W358" s="45"/>
      <c r="Y358" s="45"/>
      <c r="AA358" s="45"/>
      <c r="AE358" s="45"/>
      <c r="AG358" s="45"/>
      <c r="AI358" s="45"/>
      <c r="AK358" s="45"/>
      <c r="AM358" s="45"/>
    </row>
    <row r="359" spans="1:39" ht="12.75" customHeight="1">
      <c r="A359" s="24"/>
      <c r="C359" s="42"/>
      <c r="D359" s="73"/>
      <c r="E359" s="45"/>
      <c r="F359" s="44"/>
      <c r="G359" s="45"/>
      <c r="I359" s="45"/>
      <c r="K359" s="45"/>
      <c r="M359" s="45"/>
      <c r="O359" s="45"/>
      <c r="Q359" s="45"/>
      <c r="W359" s="45"/>
      <c r="Y359" s="45"/>
      <c r="AA359" s="45"/>
      <c r="AE359" s="45"/>
      <c r="AG359" s="45"/>
      <c r="AI359" s="45"/>
      <c r="AK359" s="45"/>
      <c r="AM359" s="45"/>
    </row>
    <row r="360" spans="1:39" ht="12.75" customHeight="1">
      <c r="A360" s="24"/>
      <c r="C360" s="42"/>
      <c r="D360" s="73"/>
      <c r="E360" s="45"/>
      <c r="F360" s="44"/>
      <c r="G360" s="45"/>
      <c r="I360" s="45"/>
      <c r="K360" s="45"/>
      <c r="M360" s="45"/>
      <c r="O360" s="45"/>
      <c r="Q360" s="45"/>
      <c r="W360" s="45"/>
      <c r="Y360" s="45"/>
      <c r="AA360" s="45"/>
      <c r="AE360" s="45"/>
      <c r="AG360" s="45"/>
      <c r="AI360" s="45"/>
      <c r="AK360" s="45"/>
      <c r="AM360" s="45"/>
    </row>
    <row r="361" spans="1:39" ht="12.75" customHeight="1">
      <c r="A361" s="24"/>
      <c r="C361" s="42"/>
      <c r="D361" s="73"/>
      <c r="E361" s="45"/>
      <c r="F361" s="44"/>
      <c r="G361" s="45"/>
      <c r="I361" s="45"/>
      <c r="K361" s="45"/>
      <c r="M361" s="45"/>
      <c r="O361" s="45"/>
      <c r="Q361" s="45"/>
      <c r="W361" s="45"/>
      <c r="Y361" s="45"/>
      <c r="AA361" s="45"/>
      <c r="AE361" s="45"/>
      <c r="AG361" s="45"/>
      <c r="AI361" s="45"/>
      <c r="AK361" s="45"/>
      <c r="AM361" s="45"/>
    </row>
    <row r="362" spans="1:39" ht="12.75" customHeight="1">
      <c r="A362" s="24"/>
      <c r="C362" s="42"/>
      <c r="D362" s="73"/>
      <c r="E362" s="45"/>
      <c r="F362" s="44"/>
      <c r="G362" s="45"/>
      <c r="I362" s="45"/>
      <c r="K362" s="45"/>
      <c r="M362" s="45"/>
      <c r="O362" s="45"/>
      <c r="Q362" s="45"/>
      <c r="W362" s="45"/>
      <c r="Y362" s="45"/>
      <c r="AA362" s="45"/>
      <c r="AE362" s="45"/>
      <c r="AG362" s="45"/>
      <c r="AI362" s="45"/>
      <c r="AK362" s="45"/>
      <c r="AM362" s="45"/>
    </row>
    <row r="363" spans="1:39" ht="12.75" customHeight="1">
      <c r="A363" s="24"/>
      <c r="C363" s="42"/>
      <c r="D363" s="73"/>
      <c r="E363" s="45"/>
      <c r="F363" s="44"/>
      <c r="G363" s="45"/>
      <c r="I363" s="45"/>
      <c r="K363" s="45"/>
      <c r="M363" s="45"/>
      <c r="O363" s="45"/>
      <c r="Q363" s="45"/>
      <c r="W363" s="45"/>
      <c r="Y363" s="45"/>
      <c r="AA363" s="45"/>
      <c r="AE363" s="45"/>
      <c r="AG363" s="45"/>
      <c r="AI363" s="45"/>
      <c r="AK363" s="45"/>
      <c r="AM363" s="45"/>
    </row>
    <row r="364" spans="1:39" ht="12.75" customHeight="1">
      <c r="A364" s="24"/>
      <c r="C364" s="42"/>
      <c r="D364" s="73"/>
      <c r="E364" s="45"/>
      <c r="F364" s="44"/>
      <c r="G364" s="45"/>
      <c r="I364" s="45"/>
      <c r="K364" s="45"/>
      <c r="M364" s="45"/>
      <c r="O364" s="45"/>
      <c r="Q364" s="45"/>
      <c r="W364" s="45"/>
      <c r="Y364" s="45"/>
      <c r="AA364" s="45"/>
      <c r="AE364" s="45"/>
      <c r="AG364" s="45"/>
      <c r="AI364" s="45"/>
      <c r="AK364" s="45"/>
      <c r="AM364" s="45"/>
    </row>
    <row r="365" spans="1:39" ht="12.75" customHeight="1">
      <c r="A365" s="24"/>
      <c r="C365" s="42"/>
      <c r="D365" s="73"/>
      <c r="E365" s="45"/>
      <c r="F365" s="44"/>
      <c r="G365" s="45"/>
      <c r="I365" s="45"/>
      <c r="K365" s="45"/>
      <c r="M365" s="45"/>
      <c r="O365" s="45"/>
      <c r="Q365" s="45"/>
      <c r="W365" s="45"/>
      <c r="Y365" s="45"/>
      <c r="AA365" s="45"/>
      <c r="AE365" s="45"/>
      <c r="AG365" s="45"/>
      <c r="AI365" s="45"/>
      <c r="AK365" s="45"/>
      <c r="AM365" s="45"/>
    </row>
    <row r="366" spans="1:39" ht="12.75" customHeight="1">
      <c r="A366" s="24"/>
      <c r="C366" s="42"/>
      <c r="D366" s="73"/>
      <c r="E366" s="45"/>
      <c r="F366" s="44"/>
      <c r="G366" s="45"/>
      <c r="I366" s="45"/>
      <c r="K366" s="45"/>
      <c r="M366" s="45"/>
      <c r="O366" s="45"/>
      <c r="Q366" s="45"/>
      <c r="W366" s="45"/>
      <c r="Y366" s="45"/>
      <c r="AA366" s="45"/>
      <c r="AE366" s="45"/>
      <c r="AG366" s="45"/>
      <c r="AI366" s="45"/>
      <c r="AK366" s="45"/>
      <c r="AM366" s="45"/>
    </row>
    <row r="367" spans="1:39" ht="12.75" customHeight="1">
      <c r="A367" s="24"/>
      <c r="C367" s="42"/>
      <c r="D367" s="73"/>
      <c r="E367" s="45"/>
      <c r="F367" s="44"/>
      <c r="G367" s="45"/>
      <c r="I367" s="45"/>
      <c r="K367" s="45"/>
      <c r="M367" s="45"/>
      <c r="O367" s="45"/>
      <c r="Q367" s="45"/>
      <c r="W367" s="45"/>
      <c r="Y367" s="45"/>
      <c r="AA367" s="45"/>
      <c r="AE367" s="45"/>
      <c r="AG367" s="45"/>
      <c r="AI367" s="45"/>
      <c r="AK367" s="45"/>
      <c r="AM367" s="45"/>
    </row>
    <row r="368" spans="1:39" ht="12.75" customHeight="1">
      <c r="A368" s="24"/>
      <c r="C368" s="42"/>
      <c r="D368" s="73"/>
      <c r="E368" s="45"/>
      <c r="F368" s="44"/>
      <c r="G368" s="45"/>
      <c r="I368" s="45"/>
      <c r="K368" s="45"/>
      <c r="M368" s="45"/>
      <c r="O368" s="45"/>
      <c r="Q368" s="45"/>
      <c r="W368" s="45"/>
      <c r="Y368" s="45"/>
      <c r="AA368" s="45"/>
      <c r="AE368" s="45"/>
      <c r="AG368" s="45"/>
      <c r="AI368" s="45"/>
      <c r="AK368" s="45"/>
      <c r="AM368" s="45"/>
    </row>
    <row r="369" spans="1:39" ht="12.75" customHeight="1">
      <c r="A369" s="24"/>
      <c r="C369" s="42"/>
      <c r="D369" s="73"/>
      <c r="E369" s="45"/>
      <c r="F369" s="44"/>
      <c r="G369" s="45"/>
      <c r="I369" s="45"/>
      <c r="K369" s="45"/>
      <c r="M369" s="45"/>
      <c r="O369" s="45"/>
      <c r="Q369" s="45"/>
      <c r="W369" s="45"/>
      <c r="Y369" s="45"/>
      <c r="AA369" s="45"/>
      <c r="AE369" s="45"/>
      <c r="AG369" s="45"/>
      <c r="AI369" s="45"/>
      <c r="AK369" s="45"/>
      <c r="AM369" s="45"/>
    </row>
    <row r="370" spans="1:39" ht="12.75" customHeight="1">
      <c r="A370" s="24"/>
      <c r="C370" s="42"/>
      <c r="D370" s="73"/>
      <c r="E370" s="45"/>
      <c r="F370" s="44"/>
      <c r="G370" s="45"/>
      <c r="I370" s="45"/>
      <c r="K370" s="45"/>
      <c r="M370" s="45"/>
      <c r="O370" s="45"/>
      <c r="Q370" s="45"/>
      <c r="W370" s="45"/>
      <c r="Y370" s="45"/>
      <c r="AA370" s="45"/>
      <c r="AE370" s="45"/>
      <c r="AG370" s="45"/>
      <c r="AI370" s="45"/>
      <c r="AK370" s="45"/>
      <c r="AM370" s="45"/>
    </row>
    <row r="371" spans="1:39" ht="12.75" customHeight="1">
      <c r="A371" s="24"/>
      <c r="C371" s="42"/>
      <c r="D371" s="73"/>
      <c r="E371" s="45"/>
      <c r="F371" s="44"/>
      <c r="G371" s="45"/>
      <c r="I371" s="45"/>
      <c r="K371" s="45"/>
      <c r="M371" s="45"/>
      <c r="O371" s="45"/>
      <c r="Q371" s="45"/>
      <c r="W371" s="45"/>
      <c r="Y371" s="45"/>
      <c r="AA371" s="45"/>
      <c r="AE371" s="45"/>
      <c r="AG371" s="45"/>
      <c r="AI371" s="45"/>
      <c r="AK371" s="45"/>
      <c r="AM371" s="45"/>
    </row>
    <row r="372" spans="1:39" ht="12.75" customHeight="1">
      <c r="A372" s="24"/>
      <c r="C372" s="42"/>
      <c r="D372" s="73"/>
      <c r="E372" s="45"/>
      <c r="F372" s="44"/>
      <c r="G372" s="45"/>
      <c r="I372" s="45"/>
      <c r="K372" s="45"/>
      <c r="M372" s="45"/>
      <c r="O372" s="45"/>
      <c r="Q372" s="45"/>
      <c r="W372" s="45"/>
      <c r="Y372" s="45"/>
      <c r="AA372" s="45"/>
      <c r="AE372" s="45"/>
      <c r="AG372" s="45"/>
      <c r="AI372" s="45"/>
      <c r="AK372" s="45"/>
      <c r="AM372" s="45"/>
    </row>
    <row r="373" spans="1:39" ht="12.75" customHeight="1">
      <c r="A373" s="24"/>
      <c r="C373" s="42"/>
      <c r="D373" s="73"/>
      <c r="E373" s="45"/>
      <c r="F373" s="44"/>
      <c r="G373" s="45"/>
      <c r="I373" s="45"/>
      <c r="K373" s="45"/>
      <c r="M373" s="45"/>
      <c r="O373" s="45"/>
      <c r="Q373" s="45"/>
      <c r="W373" s="45"/>
      <c r="Y373" s="45"/>
      <c r="AA373" s="45"/>
      <c r="AE373" s="45"/>
      <c r="AG373" s="45"/>
      <c r="AI373" s="45"/>
      <c r="AK373" s="45"/>
      <c r="AM373" s="45"/>
    </row>
    <row r="374" spans="1:39" ht="12.75" customHeight="1">
      <c r="A374" s="24"/>
      <c r="C374" s="42"/>
      <c r="D374" s="73"/>
      <c r="E374" s="45"/>
      <c r="F374" s="44"/>
      <c r="G374" s="45"/>
      <c r="I374" s="45"/>
      <c r="K374" s="45"/>
      <c r="M374" s="45"/>
      <c r="O374" s="45"/>
      <c r="Q374" s="45"/>
      <c r="W374" s="45"/>
      <c r="Y374" s="45"/>
      <c r="AA374" s="45"/>
      <c r="AE374" s="45"/>
      <c r="AG374" s="45"/>
      <c r="AI374" s="45"/>
      <c r="AK374" s="45"/>
      <c r="AM374" s="45"/>
    </row>
    <row r="375" spans="1:39" ht="12.75" customHeight="1">
      <c r="A375" s="24"/>
      <c r="C375" s="42"/>
      <c r="D375" s="73"/>
      <c r="E375" s="45"/>
      <c r="F375" s="44"/>
      <c r="G375" s="45"/>
      <c r="I375" s="45"/>
      <c r="K375" s="45"/>
      <c r="M375" s="45"/>
      <c r="O375" s="45"/>
      <c r="Q375" s="45"/>
      <c r="W375" s="45"/>
      <c r="Y375" s="45"/>
      <c r="AA375" s="45"/>
      <c r="AE375" s="45"/>
      <c r="AG375" s="45"/>
      <c r="AI375" s="45"/>
      <c r="AK375" s="45"/>
      <c r="AM375" s="45"/>
    </row>
    <row r="376" spans="1:39" ht="12.75" customHeight="1">
      <c r="A376" s="24"/>
      <c r="C376" s="42"/>
      <c r="D376" s="73"/>
      <c r="E376" s="45"/>
      <c r="F376" s="44"/>
      <c r="G376" s="45"/>
      <c r="I376" s="45"/>
      <c r="K376" s="45"/>
      <c r="M376" s="45"/>
      <c r="O376" s="45"/>
      <c r="Q376" s="45"/>
      <c r="W376" s="45"/>
      <c r="Y376" s="45"/>
      <c r="AA376" s="45"/>
      <c r="AE376" s="45"/>
      <c r="AG376" s="45"/>
      <c r="AI376" s="45"/>
      <c r="AK376" s="45"/>
      <c r="AM376" s="45"/>
    </row>
    <row r="377" spans="1:39" ht="12.75" customHeight="1">
      <c r="A377" s="24"/>
      <c r="C377" s="42"/>
      <c r="D377" s="73"/>
      <c r="E377" s="45"/>
      <c r="F377" s="44"/>
      <c r="G377" s="45"/>
      <c r="I377" s="45"/>
      <c r="K377" s="45"/>
      <c r="M377" s="45"/>
      <c r="O377" s="45"/>
      <c r="Q377" s="45"/>
      <c r="W377" s="45"/>
      <c r="Y377" s="45"/>
      <c r="AA377" s="45"/>
      <c r="AE377" s="45"/>
      <c r="AG377" s="45"/>
      <c r="AI377" s="45"/>
      <c r="AK377" s="45"/>
      <c r="AM377" s="45"/>
    </row>
    <row r="378" spans="1:39" ht="12.75" customHeight="1">
      <c r="A378" s="24"/>
      <c r="C378" s="42"/>
      <c r="D378" s="73"/>
      <c r="E378" s="45"/>
      <c r="F378" s="44"/>
      <c r="G378" s="45"/>
      <c r="I378" s="45"/>
      <c r="K378" s="45"/>
      <c r="M378" s="45"/>
      <c r="O378" s="45"/>
      <c r="Q378" s="45"/>
      <c r="W378" s="45"/>
      <c r="Y378" s="45"/>
      <c r="AA378" s="45"/>
      <c r="AE378" s="45"/>
      <c r="AG378" s="45"/>
      <c r="AI378" s="45"/>
      <c r="AK378" s="45"/>
      <c r="AM378" s="45"/>
    </row>
    <row r="379" spans="1:39" ht="12.75" customHeight="1">
      <c r="A379" s="24"/>
      <c r="C379" s="42"/>
      <c r="D379" s="73"/>
      <c r="E379" s="45"/>
      <c r="F379" s="44"/>
      <c r="G379" s="45"/>
      <c r="I379" s="45"/>
      <c r="K379" s="45"/>
      <c r="M379" s="45"/>
      <c r="O379" s="45"/>
      <c r="Q379" s="45"/>
      <c r="W379" s="45"/>
      <c r="Y379" s="45"/>
      <c r="AA379" s="45"/>
      <c r="AE379" s="45"/>
      <c r="AG379" s="45"/>
      <c r="AI379" s="45"/>
      <c r="AK379" s="45"/>
      <c r="AM379" s="45"/>
    </row>
    <row r="380" spans="1:39" ht="12.75" customHeight="1">
      <c r="A380" s="24"/>
      <c r="C380" s="42"/>
      <c r="D380" s="73"/>
      <c r="E380" s="45"/>
      <c r="F380" s="44"/>
      <c r="G380" s="45"/>
      <c r="I380" s="45"/>
      <c r="K380" s="45"/>
      <c r="M380" s="45"/>
      <c r="O380" s="45"/>
      <c r="Q380" s="45"/>
      <c r="W380" s="45"/>
      <c r="Y380" s="45"/>
      <c r="AA380" s="45"/>
      <c r="AE380" s="45"/>
      <c r="AG380" s="45"/>
      <c r="AI380" s="45"/>
      <c r="AK380" s="45"/>
      <c r="AM380" s="45"/>
    </row>
    <row r="381" spans="1:39" ht="12.75" customHeight="1">
      <c r="A381" s="24"/>
      <c r="C381" s="42"/>
      <c r="D381" s="73"/>
      <c r="E381" s="45"/>
      <c r="F381" s="44"/>
      <c r="G381" s="45"/>
      <c r="I381" s="45"/>
      <c r="K381" s="45"/>
      <c r="M381" s="45"/>
      <c r="O381" s="45"/>
      <c r="Q381" s="45"/>
      <c r="W381" s="45"/>
      <c r="Y381" s="45"/>
      <c r="AA381" s="45"/>
      <c r="AE381" s="45"/>
      <c r="AG381" s="45"/>
      <c r="AI381" s="45"/>
      <c r="AK381" s="45"/>
      <c r="AM381" s="45"/>
    </row>
    <row r="382" spans="1:39" ht="12.75" customHeight="1">
      <c r="A382" s="24"/>
      <c r="C382" s="42"/>
      <c r="D382" s="73"/>
      <c r="E382" s="45"/>
      <c r="F382" s="44"/>
      <c r="G382" s="45"/>
      <c r="I382" s="45"/>
      <c r="K382" s="45"/>
      <c r="M382" s="45"/>
      <c r="O382" s="45"/>
      <c r="Q382" s="45"/>
      <c r="W382" s="45"/>
      <c r="Y382" s="45"/>
      <c r="AA382" s="45"/>
      <c r="AE382" s="45"/>
      <c r="AG382" s="45"/>
      <c r="AI382" s="45"/>
      <c r="AK382" s="45"/>
      <c r="AM382" s="45"/>
    </row>
    <row r="383" spans="1:39" ht="12.75" customHeight="1">
      <c r="A383" s="24"/>
      <c r="C383" s="42"/>
      <c r="D383" s="73"/>
      <c r="E383" s="45"/>
      <c r="F383" s="44"/>
      <c r="G383" s="45"/>
      <c r="I383" s="45"/>
      <c r="K383" s="45"/>
      <c r="M383" s="45"/>
      <c r="O383" s="45"/>
      <c r="Q383" s="45"/>
      <c r="W383" s="45"/>
      <c r="Y383" s="45"/>
      <c r="AA383" s="45"/>
      <c r="AE383" s="45"/>
      <c r="AG383" s="45"/>
      <c r="AI383" s="45"/>
      <c r="AK383" s="45"/>
      <c r="AM383" s="45"/>
    </row>
    <row r="384" spans="1:39" ht="12.75" customHeight="1">
      <c r="A384" s="24"/>
      <c r="C384" s="42"/>
      <c r="D384" s="73"/>
      <c r="E384" s="45"/>
      <c r="F384" s="44"/>
      <c r="G384" s="45"/>
      <c r="I384" s="45"/>
      <c r="K384" s="45"/>
      <c r="M384" s="45"/>
      <c r="O384" s="45"/>
      <c r="Q384" s="45"/>
      <c r="W384" s="45"/>
      <c r="Y384" s="45"/>
      <c r="AA384" s="45"/>
      <c r="AE384" s="45"/>
      <c r="AG384" s="45"/>
      <c r="AI384" s="45"/>
      <c r="AK384" s="45"/>
      <c r="AM384" s="45"/>
    </row>
    <row r="385" spans="1:39" ht="12.75" customHeight="1">
      <c r="A385" s="24"/>
      <c r="C385" s="42"/>
      <c r="D385" s="73"/>
      <c r="E385" s="45"/>
      <c r="F385" s="44"/>
      <c r="G385" s="45"/>
      <c r="I385" s="45"/>
      <c r="K385" s="45"/>
      <c r="M385" s="45"/>
      <c r="O385" s="45"/>
      <c r="Q385" s="45"/>
      <c r="W385" s="45"/>
      <c r="Y385" s="45"/>
      <c r="AA385" s="45"/>
      <c r="AE385" s="45"/>
      <c r="AG385" s="45"/>
      <c r="AI385" s="45"/>
      <c r="AK385" s="45"/>
      <c r="AM385" s="45"/>
    </row>
    <row r="386" spans="1:39" ht="12.75" customHeight="1">
      <c r="A386" s="24"/>
      <c r="C386" s="42"/>
      <c r="D386" s="73"/>
      <c r="E386" s="45"/>
      <c r="F386" s="44"/>
      <c r="G386" s="45"/>
      <c r="I386" s="45"/>
      <c r="K386" s="45"/>
      <c r="M386" s="45"/>
      <c r="O386" s="45"/>
      <c r="Q386" s="45"/>
      <c r="W386" s="45"/>
      <c r="Y386" s="45"/>
      <c r="AA386" s="45"/>
      <c r="AE386" s="45"/>
      <c r="AG386" s="45"/>
      <c r="AI386" s="45"/>
      <c r="AK386" s="45"/>
      <c r="AM386" s="45"/>
    </row>
    <row r="387" spans="1:39" ht="12.75" customHeight="1">
      <c r="A387" s="24"/>
      <c r="C387" s="42"/>
      <c r="D387" s="73"/>
      <c r="E387" s="45"/>
      <c r="F387" s="44"/>
      <c r="G387" s="45"/>
      <c r="I387" s="45"/>
      <c r="K387" s="45"/>
      <c r="M387" s="45"/>
      <c r="O387" s="45"/>
      <c r="Q387" s="45"/>
      <c r="W387" s="45"/>
      <c r="Y387" s="45"/>
      <c r="AA387" s="45"/>
      <c r="AE387" s="45"/>
      <c r="AG387" s="45"/>
      <c r="AI387" s="45"/>
      <c r="AK387" s="45"/>
      <c r="AM387" s="45"/>
    </row>
    <row r="388" spans="1:39" ht="12.75" customHeight="1">
      <c r="A388" s="24"/>
      <c r="C388" s="42"/>
      <c r="D388" s="73"/>
      <c r="E388" s="45"/>
      <c r="F388" s="44"/>
      <c r="G388" s="45"/>
      <c r="I388" s="45"/>
      <c r="K388" s="45"/>
      <c r="M388" s="45"/>
      <c r="O388" s="45"/>
      <c r="Q388" s="45"/>
      <c r="W388" s="45"/>
      <c r="Y388" s="45"/>
      <c r="AA388" s="45"/>
      <c r="AE388" s="45"/>
      <c r="AG388" s="45"/>
      <c r="AI388" s="45"/>
      <c r="AK388" s="45"/>
      <c r="AM388" s="45"/>
    </row>
    <row r="389" spans="1:39" ht="12.75" customHeight="1">
      <c r="A389" s="24"/>
      <c r="C389" s="42"/>
      <c r="D389" s="73"/>
      <c r="E389" s="45"/>
      <c r="F389" s="44"/>
      <c r="G389" s="45"/>
      <c r="I389" s="45"/>
      <c r="K389" s="45"/>
      <c r="M389" s="45"/>
      <c r="O389" s="45"/>
      <c r="Q389" s="45"/>
      <c r="W389" s="45"/>
      <c r="Y389" s="45"/>
      <c r="AA389" s="45"/>
      <c r="AE389" s="45"/>
      <c r="AG389" s="45"/>
      <c r="AI389" s="45"/>
      <c r="AK389" s="45"/>
      <c r="AM389" s="45"/>
    </row>
    <row r="390" spans="1:39" ht="12.75" customHeight="1">
      <c r="A390" s="24"/>
      <c r="C390" s="42"/>
      <c r="D390" s="73"/>
      <c r="E390" s="45"/>
      <c r="F390" s="44"/>
      <c r="G390" s="45"/>
      <c r="I390" s="45"/>
      <c r="K390" s="45"/>
      <c r="M390" s="45"/>
      <c r="O390" s="45"/>
      <c r="Q390" s="45"/>
      <c r="W390" s="45"/>
      <c r="Y390" s="45"/>
      <c r="AA390" s="45"/>
      <c r="AE390" s="45"/>
      <c r="AG390" s="45"/>
      <c r="AI390" s="45"/>
      <c r="AK390" s="45"/>
      <c r="AM390" s="45"/>
    </row>
    <row r="391" spans="1:39" ht="12.75" customHeight="1">
      <c r="A391" s="24"/>
      <c r="C391" s="42"/>
      <c r="D391" s="73"/>
      <c r="E391" s="45"/>
      <c r="F391" s="44"/>
      <c r="G391" s="45"/>
      <c r="I391" s="45"/>
      <c r="K391" s="45"/>
      <c r="M391" s="45"/>
      <c r="O391" s="45"/>
      <c r="Q391" s="45"/>
      <c r="W391" s="45"/>
      <c r="Y391" s="45"/>
      <c r="AA391" s="45"/>
      <c r="AE391" s="45"/>
      <c r="AG391" s="45"/>
      <c r="AI391" s="45"/>
      <c r="AK391" s="45"/>
      <c r="AM391" s="45"/>
    </row>
    <row r="392" spans="1:39" ht="12.75" customHeight="1">
      <c r="A392" s="24"/>
      <c r="C392" s="42"/>
      <c r="D392" s="73"/>
      <c r="E392" s="45"/>
      <c r="F392" s="44"/>
      <c r="G392" s="45"/>
      <c r="I392" s="45"/>
      <c r="K392" s="45"/>
      <c r="M392" s="45"/>
      <c r="O392" s="45"/>
      <c r="Q392" s="45"/>
      <c r="W392" s="45"/>
      <c r="Y392" s="45"/>
      <c r="AA392" s="45"/>
      <c r="AE392" s="45"/>
      <c r="AG392" s="45"/>
      <c r="AI392" s="45"/>
      <c r="AK392" s="45"/>
      <c r="AM392" s="45"/>
    </row>
    <row r="393" spans="1:39" ht="12.75" customHeight="1">
      <c r="A393" s="24"/>
      <c r="C393" s="42"/>
      <c r="D393" s="73"/>
      <c r="E393" s="45"/>
      <c r="F393" s="44"/>
      <c r="G393" s="45"/>
      <c r="I393" s="45"/>
      <c r="K393" s="45"/>
      <c r="M393" s="45"/>
      <c r="O393" s="45"/>
      <c r="Q393" s="45"/>
      <c r="W393" s="45"/>
      <c r="Y393" s="45"/>
      <c r="AA393" s="45"/>
      <c r="AE393" s="45"/>
      <c r="AG393" s="45"/>
      <c r="AI393" s="45"/>
      <c r="AK393" s="45"/>
      <c r="AM393" s="45"/>
    </row>
    <row r="394" spans="1:39" ht="12.75" customHeight="1">
      <c r="A394" s="24"/>
      <c r="C394" s="42"/>
      <c r="D394" s="73"/>
      <c r="E394" s="45"/>
      <c r="F394" s="44"/>
      <c r="G394" s="45"/>
      <c r="I394" s="45"/>
      <c r="K394" s="45"/>
      <c r="M394" s="45"/>
      <c r="O394" s="45"/>
      <c r="Q394" s="45"/>
      <c r="W394" s="45"/>
      <c r="Y394" s="45"/>
      <c r="AA394" s="45"/>
      <c r="AE394" s="45"/>
      <c r="AG394" s="45"/>
      <c r="AI394" s="45"/>
      <c r="AK394" s="45"/>
      <c r="AM394" s="45"/>
    </row>
    <row r="395" spans="1:39" ht="12.75" customHeight="1">
      <c r="A395" s="24"/>
      <c r="C395" s="42"/>
      <c r="D395" s="73"/>
      <c r="E395" s="45"/>
      <c r="F395" s="44"/>
      <c r="G395" s="45"/>
      <c r="I395" s="45"/>
      <c r="K395" s="45"/>
      <c r="M395" s="45"/>
      <c r="O395" s="45"/>
      <c r="Q395" s="45"/>
      <c r="W395" s="45"/>
      <c r="Y395" s="45"/>
      <c r="AA395" s="45"/>
      <c r="AE395" s="45"/>
      <c r="AG395" s="45"/>
      <c r="AI395" s="45"/>
      <c r="AK395" s="45"/>
      <c r="AM395" s="45"/>
    </row>
    <row r="396" spans="1:39" ht="12.75" customHeight="1">
      <c r="A396" s="24"/>
      <c r="C396" s="42"/>
      <c r="D396" s="73"/>
      <c r="E396" s="45"/>
      <c r="F396" s="44"/>
      <c r="G396" s="45"/>
      <c r="I396" s="45"/>
      <c r="K396" s="45"/>
      <c r="M396" s="45"/>
      <c r="O396" s="45"/>
      <c r="Q396" s="45"/>
      <c r="W396" s="45"/>
      <c r="Y396" s="45"/>
      <c r="AA396" s="45"/>
      <c r="AE396" s="45"/>
      <c r="AG396" s="45"/>
      <c r="AI396" s="45"/>
      <c r="AK396" s="45"/>
      <c r="AM396" s="45"/>
    </row>
    <row r="397" spans="1:39" ht="12.75" customHeight="1">
      <c r="A397" s="24"/>
      <c r="C397" s="42"/>
      <c r="D397" s="73"/>
      <c r="E397" s="45"/>
      <c r="F397" s="44"/>
      <c r="G397" s="45"/>
      <c r="I397" s="45"/>
      <c r="K397" s="45"/>
      <c r="M397" s="45"/>
      <c r="O397" s="45"/>
      <c r="Q397" s="45"/>
      <c r="W397" s="45"/>
      <c r="Y397" s="45"/>
      <c r="AA397" s="45"/>
      <c r="AE397" s="45"/>
      <c r="AG397" s="45"/>
      <c r="AI397" s="45"/>
      <c r="AK397" s="45"/>
      <c r="AM397" s="45"/>
    </row>
    <row r="398" spans="1:39" ht="12.75" customHeight="1">
      <c r="A398" s="24"/>
      <c r="C398" s="42"/>
      <c r="D398" s="73"/>
      <c r="E398" s="45"/>
      <c r="F398" s="44"/>
      <c r="G398" s="45"/>
      <c r="I398" s="45"/>
      <c r="K398" s="45"/>
      <c r="M398" s="45"/>
      <c r="O398" s="45"/>
      <c r="Q398" s="45"/>
      <c r="W398" s="45"/>
      <c r="Y398" s="45"/>
      <c r="AA398" s="45"/>
      <c r="AE398" s="45"/>
      <c r="AG398" s="45"/>
      <c r="AI398" s="45"/>
      <c r="AK398" s="45"/>
      <c r="AM398" s="45"/>
    </row>
    <row r="399" spans="1:39" ht="12.75" customHeight="1">
      <c r="A399" s="24"/>
      <c r="C399" s="42"/>
      <c r="D399" s="73"/>
      <c r="E399" s="45"/>
      <c r="F399" s="44"/>
      <c r="G399" s="45"/>
      <c r="I399" s="45"/>
      <c r="K399" s="45"/>
      <c r="M399" s="45"/>
      <c r="O399" s="45"/>
      <c r="Q399" s="45"/>
      <c r="W399" s="45"/>
      <c r="Y399" s="45"/>
      <c r="AA399" s="45"/>
      <c r="AE399" s="45"/>
      <c r="AG399" s="45"/>
      <c r="AI399" s="45"/>
      <c r="AK399" s="45"/>
      <c r="AM399" s="45"/>
    </row>
    <row r="400" spans="1:39" ht="12.75" customHeight="1">
      <c r="A400" s="24"/>
      <c r="C400" s="42"/>
      <c r="D400" s="73"/>
      <c r="E400" s="45"/>
      <c r="F400" s="44"/>
      <c r="G400" s="45"/>
      <c r="I400" s="45"/>
      <c r="K400" s="45"/>
      <c r="M400" s="45"/>
      <c r="O400" s="45"/>
      <c r="Q400" s="45"/>
      <c r="W400" s="45"/>
      <c r="Y400" s="45"/>
      <c r="AA400" s="45"/>
      <c r="AE400" s="45"/>
      <c r="AG400" s="45"/>
      <c r="AI400" s="45"/>
      <c r="AK400" s="45"/>
      <c r="AM400" s="45"/>
    </row>
    <row r="401" spans="1:39" ht="12.75" customHeight="1">
      <c r="A401" s="24"/>
      <c r="C401" s="42"/>
      <c r="D401" s="73"/>
      <c r="E401" s="45"/>
      <c r="F401" s="44"/>
      <c r="G401" s="45"/>
      <c r="I401" s="45"/>
      <c r="K401" s="45"/>
      <c r="M401" s="45"/>
      <c r="O401" s="45"/>
      <c r="Q401" s="45"/>
      <c r="W401" s="45"/>
      <c r="Y401" s="45"/>
      <c r="AA401" s="45"/>
      <c r="AE401" s="45"/>
      <c r="AG401" s="45"/>
      <c r="AI401" s="45"/>
      <c r="AK401" s="45"/>
      <c r="AM401" s="45"/>
    </row>
    <row r="402" spans="1:39" ht="12.75" customHeight="1">
      <c r="A402" s="24"/>
      <c r="C402" s="42"/>
      <c r="D402" s="73"/>
      <c r="E402" s="45"/>
      <c r="F402" s="44"/>
      <c r="G402" s="45"/>
      <c r="I402" s="45"/>
      <c r="K402" s="45"/>
      <c r="M402" s="45"/>
      <c r="O402" s="45"/>
      <c r="Q402" s="45"/>
      <c r="W402" s="45"/>
      <c r="Y402" s="45"/>
      <c r="AA402" s="45"/>
      <c r="AE402" s="45"/>
      <c r="AG402" s="45"/>
      <c r="AI402" s="45"/>
      <c r="AK402" s="45"/>
      <c r="AM402" s="45"/>
    </row>
    <row r="403" spans="1:39" ht="12.75" customHeight="1">
      <c r="A403" s="24"/>
      <c r="C403" s="42"/>
      <c r="D403" s="73"/>
      <c r="E403" s="45"/>
      <c r="F403" s="44"/>
      <c r="G403" s="45"/>
      <c r="I403" s="45"/>
      <c r="K403" s="45"/>
      <c r="M403" s="45"/>
      <c r="O403" s="45"/>
      <c r="Q403" s="45"/>
      <c r="W403" s="45"/>
      <c r="Y403" s="45"/>
      <c r="AA403" s="45"/>
      <c r="AE403" s="45"/>
      <c r="AG403" s="45"/>
      <c r="AI403" s="45"/>
      <c r="AK403" s="45"/>
      <c r="AM403" s="45"/>
    </row>
    <row r="404" spans="1:39" ht="12.75" customHeight="1">
      <c r="A404" s="24"/>
      <c r="C404" s="42"/>
      <c r="D404" s="73"/>
      <c r="E404" s="45"/>
      <c r="F404" s="44"/>
      <c r="G404" s="45"/>
      <c r="I404" s="45"/>
      <c r="K404" s="45"/>
      <c r="M404" s="45"/>
      <c r="O404" s="45"/>
      <c r="Q404" s="45"/>
      <c r="W404" s="45"/>
      <c r="Y404" s="45"/>
      <c r="AA404" s="45"/>
      <c r="AE404" s="45"/>
      <c r="AG404" s="45"/>
      <c r="AI404" s="45"/>
      <c r="AK404" s="45"/>
      <c r="AM404" s="45"/>
    </row>
    <row r="405" spans="1:39" ht="12.75" customHeight="1">
      <c r="A405" s="24"/>
      <c r="C405" s="42"/>
      <c r="D405" s="73"/>
      <c r="E405" s="45"/>
      <c r="F405" s="44"/>
      <c r="G405" s="45"/>
      <c r="I405" s="45"/>
      <c r="K405" s="45"/>
      <c r="M405" s="45"/>
      <c r="O405" s="45"/>
      <c r="Q405" s="45"/>
      <c r="W405" s="45"/>
      <c r="Y405" s="45"/>
      <c r="AA405" s="45"/>
      <c r="AE405" s="45"/>
      <c r="AG405" s="45"/>
      <c r="AI405" s="45"/>
      <c r="AK405" s="45"/>
      <c r="AM405" s="45"/>
    </row>
    <row r="406" spans="1:39" ht="12.75" customHeight="1">
      <c r="A406" s="24"/>
      <c r="C406" s="42"/>
      <c r="D406" s="73"/>
      <c r="E406" s="45"/>
      <c r="F406" s="44"/>
      <c r="G406" s="45"/>
      <c r="I406" s="45"/>
      <c r="K406" s="45"/>
      <c r="M406" s="45"/>
      <c r="O406" s="45"/>
      <c r="Q406" s="45"/>
      <c r="W406" s="45"/>
      <c r="Y406" s="45"/>
      <c r="AA406" s="45"/>
      <c r="AE406" s="45"/>
      <c r="AG406" s="45"/>
      <c r="AI406" s="45"/>
      <c r="AK406" s="45"/>
      <c r="AM406" s="45"/>
    </row>
    <row r="407" spans="1:39" ht="12.75" customHeight="1">
      <c r="A407" s="24"/>
      <c r="C407" s="42"/>
      <c r="D407" s="73"/>
      <c r="E407" s="45"/>
      <c r="F407" s="44"/>
      <c r="G407" s="45"/>
      <c r="I407" s="45"/>
      <c r="K407" s="45"/>
      <c r="M407" s="45"/>
      <c r="O407" s="45"/>
      <c r="Q407" s="45"/>
      <c r="W407" s="45"/>
      <c r="Y407" s="45"/>
      <c r="AA407" s="45"/>
      <c r="AE407" s="45"/>
      <c r="AG407" s="45"/>
      <c r="AI407" s="45"/>
      <c r="AK407" s="45"/>
      <c r="AM407" s="45"/>
    </row>
    <row r="408" spans="1:39" ht="12.75" customHeight="1">
      <c r="A408" s="24"/>
      <c r="C408" s="42"/>
      <c r="D408" s="73"/>
      <c r="E408" s="45"/>
      <c r="F408" s="44"/>
      <c r="G408" s="45"/>
      <c r="I408" s="45"/>
      <c r="K408" s="45"/>
      <c r="M408" s="45"/>
      <c r="O408" s="45"/>
      <c r="Q408" s="45"/>
      <c r="W408" s="45"/>
      <c r="Y408" s="45"/>
      <c r="AA408" s="45"/>
      <c r="AE408" s="45"/>
      <c r="AG408" s="45"/>
      <c r="AI408" s="45"/>
      <c r="AK408" s="45"/>
      <c r="AM408" s="45"/>
    </row>
    <row r="409" spans="1:39" ht="12.75" customHeight="1">
      <c r="A409" s="24"/>
      <c r="C409" s="42"/>
      <c r="D409" s="73"/>
      <c r="E409" s="45"/>
      <c r="F409" s="44"/>
      <c r="G409" s="45"/>
      <c r="I409" s="45"/>
      <c r="K409" s="45"/>
      <c r="M409" s="45"/>
      <c r="O409" s="45"/>
      <c r="Q409" s="45"/>
      <c r="W409" s="45"/>
      <c r="Y409" s="45"/>
      <c r="AA409" s="45"/>
      <c r="AE409" s="45"/>
      <c r="AG409" s="45"/>
      <c r="AI409" s="45"/>
      <c r="AK409" s="45"/>
      <c r="AM409" s="45"/>
    </row>
    <row r="410" spans="1:39" ht="12.75" customHeight="1">
      <c r="A410" s="24"/>
      <c r="C410" s="42"/>
      <c r="D410" s="73"/>
      <c r="E410" s="45"/>
      <c r="F410" s="44"/>
      <c r="G410" s="45"/>
      <c r="I410" s="45"/>
      <c r="K410" s="45"/>
      <c r="M410" s="45"/>
      <c r="O410" s="45"/>
      <c r="Q410" s="45"/>
      <c r="W410" s="45"/>
      <c r="Y410" s="45"/>
      <c r="AA410" s="45"/>
      <c r="AE410" s="45"/>
      <c r="AG410" s="45"/>
      <c r="AI410" s="45"/>
      <c r="AK410" s="45"/>
      <c r="AM410" s="45"/>
    </row>
    <row r="411" spans="1:39" ht="12.75" customHeight="1">
      <c r="A411" s="24"/>
      <c r="C411" s="42"/>
      <c r="D411" s="73"/>
      <c r="E411" s="45"/>
      <c r="F411" s="44"/>
      <c r="G411" s="45"/>
      <c r="I411" s="45"/>
      <c r="K411" s="45"/>
      <c r="M411" s="45"/>
      <c r="O411" s="45"/>
      <c r="Q411" s="45"/>
      <c r="W411" s="45"/>
      <c r="Y411" s="45"/>
      <c r="AA411" s="45"/>
      <c r="AE411" s="45"/>
      <c r="AG411" s="45"/>
      <c r="AI411" s="45"/>
      <c r="AK411" s="45"/>
      <c r="AM411" s="45"/>
    </row>
    <row r="412" spans="1:39" ht="12.75" customHeight="1">
      <c r="A412" s="24"/>
      <c r="C412" s="42"/>
      <c r="D412" s="73"/>
      <c r="E412" s="45"/>
      <c r="F412" s="44"/>
      <c r="G412" s="45"/>
      <c r="I412" s="45"/>
      <c r="K412" s="45"/>
      <c r="M412" s="45"/>
      <c r="O412" s="45"/>
      <c r="Q412" s="45"/>
      <c r="W412" s="45"/>
      <c r="Y412" s="45"/>
      <c r="AA412" s="45"/>
      <c r="AE412" s="45"/>
      <c r="AG412" s="45"/>
      <c r="AI412" s="45"/>
      <c r="AK412" s="45"/>
      <c r="AM412" s="45"/>
    </row>
    <row r="413" spans="1:39" ht="12.75" customHeight="1">
      <c r="A413" s="24"/>
      <c r="C413" s="42"/>
      <c r="D413" s="73"/>
      <c r="E413" s="45"/>
      <c r="F413" s="44"/>
      <c r="G413" s="45"/>
      <c r="I413" s="45"/>
      <c r="K413" s="45"/>
      <c r="M413" s="45"/>
      <c r="O413" s="45"/>
      <c r="Q413" s="45"/>
      <c r="W413" s="45"/>
      <c r="Y413" s="45"/>
      <c r="AA413" s="45"/>
      <c r="AE413" s="45"/>
      <c r="AG413" s="45"/>
      <c r="AI413" s="45"/>
      <c r="AK413" s="45"/>
      <c r="AM413" s="45"/>
    </row>
    <row r="414" spans="1:39" ht="12.75" customHeight="1">
      <c r="A414" s="24"/>
      <c r="C414" s="42"/>
      <c r="D414" s="73"/>
      <c r="E414" s="45"/>
      <c r="F414" s="44"/>
      <c r="G414" s="45"/>
      <c r="I414" s="45"/>
      <c r="K414" s="45"/>
      <c r="M414" s="45"/>
      <c r="O414" s="45"/>
      <c r="Q414" s="45"/>
      <c r="W414" s="45"/>
      <c r="Y414" s="45"/>
      <c r="AA414" s="45"/>
      <c r="AE414" s="45"/>
      <c r="AG414" s="45"/>
      <c r="AI414" s="45"/>
      <c r="AK414" s="45"/>
      <c r="AM414" s="45"/>
    </row>
    <row r="415" spans="1:39" ht="12.75" customHeight="1">
      <c r="A415" s="24"/>
      <c r="C415" s="42"/>
      <c r="D415" s="73"/>
      <c r="E415" s="45"/>
      <c r="F415" s="44"/>
      <c r="G415" s="45"/>
      <c r="I415" s="45"/>
      <c r="K415" s="45"/>
      <c r="M415" s="45"/>
      <c r="O415" s="45"/>
      <c r="Q415" s="45"/>
      <c r="W415" s="45"/>
      <c r="Y415" s="45"/>
      <c r="AA415" s="45"/>
      <c r="AE415" s="45"/>
      <c r="AG415" s="45"/>
      <c r="AI415" s="45"/>
      <c r="AK415" s="45"/>
      <c r="AM415" s="45"/>
    </row>
    <row r="416" spans="1:39" ht="12.75" customHeight="1">
      <c r="A416" s="24"/>
      <c r="C416" s="42"/>
      <c r="D416" s="73"/>
      <c r="E416" s="45"/>
      <c r="F416" s="44"/>
      <c r="G416" s="45"/>
      <c r="I416" s="45"/>
      <c r="K416" s="45"/>
      <c r="M416" s="45"/>
      <c r="O416" s="45"/>
      <c r="Q416" s="45"/>
      <c r="W416" s="45"/>
      <c r="Y416" s="45"/>
      <c r="AA416" s="45"/>
      <c r="AE416" s="45"/>
      <c r="AG416" s="45"/>
      <c r="AI416" s="45"/>
      <c r="AK416" s="45"/>
      <c r="AM416" s="45"/>
    </row>
    <row r="417" spans="1:39" ht="12.75" customHeight="1">
      <c r="A417" s="24"/>
      <c r="C417" s="42"/>
      <c r="D417" s="73"/>
      <c r="E417" s="45"/>
      <c r="F417" s="44"/>
      <c r="G417" s="45"/>
      <c r="I417" s="45"/>
      <c r="K417" s="45"/>
      <c r="M417" s="45"/>
      <c r="O417" s="45"/>
      <c r="Q417" s="45"/>
      <c r="W417" s="45"/>
      <c r="Y417" s="45"/>
      <c r="AA417" s="45"/>
      <c r="AE417" s="45"/>
      <c r="AG417" s="45"/>
      <c r="AI417" s="45"/>
      <c r="AK417" s="45"/>
      <c r="AM417" s="45"/>
    </row>
    <row r="418" spans="1:39" ht="12.75" customHeight="1">
      <c r="A418" s="24"/>
      <c r="C418" s="42"/>
      <c r="D418" s="73"/>
      <c r="E418" s="45"/>
      <c r="F418" s="44"/>
      <c r="G418" s="45"/>
      <c r="I418" s="45"/>
      <c r="K418" s="45"/>
      <c r="M418" s="45"/>
      <c r="O418" s="45"/>
      <c r="Q418" s="45"/>
      <c r="W418" s="45"/>
      <c r="Y418" s="45"/>
      <c r="AA418" s="45"/>
      <c r="AE418" s="45"/>
      <c r="AG418" s="45"/>
      <c r="AI418" s="45"/>
      <c r="AK418" s="45"/>
      <c r="AM418" s="45"/>
    </row>
    <row r="419" spans="1:39" ht="12.75" customHeight="1">
      <c r="A419" s="24"/>
      <c r="C419" s="42"/>
      <c r="D419" s="73"/>
      <c r="E419" s="45"/>
      <c r="F419" s="44"/>
      <c r="G419" s="45"/>
      <c r="I419" s="45"/>
      <c r="K419" s="45"/>
      <c r="M419" s="45"/>
      <c r="O419" s="45"/>
      <c r="Q419" s="45"/>
      <c r="W419" s="45"/>
      <c r="Y419" s="45"/>
      <c r="AA419" s="45"/>
      <c r="AE419" s="45"/>
      <c r="AG419" s="45"/>
      <c r="AI419" s="45"/>
      <c r="AK419" s="45"/>
      <c r="AM419" s="45"/>
    </row>
    <row r="420" spans="1:39" ht="12.75" customHeight="1">
      <c r="A420" s="24"/>
      <c r="C420" s="42"/>
      <c r="D420" s="73"/>
      <c r="E420" s="45"/>
      <c r="F420" s="44"/>
      <c r="G420" s="45"/>
      <c r="I420" s="45"/>
      <c r="K420" s="45"/>
      <c r="M420" s="45"/>
      <c r="O420" s="45"/>
      <c r="Q420" s="45"/>
      <c r="W420" s="45"/>
      <c r="Y420" s="45"/>
      <c r="AA420" s="45"/>
      <c r="AE420" s="45"/>
      <c r="AG420" s="45"/>
      <c r="AI420" s="45"/>
      <c r="AK420" s="45"/>
      <c r="AM420" s="45"/>
    </row>
    <row r="421" spans="1:39" ht="12.75" customHeight="1">
      <c r="A421" s="24"/>
      <c r="C421" s="42"/>
      <c r="D421" s="73"/>
      <c r="E421" s="45"/>
      <c r="F421" s="44"/>
      <c r="G421" s="45"/>
      <c r="I421" s="45"/>
      <c r="K421" s="45"/>
      <c r="M421" s="45"/>
      <c r="O421" s="45"/>
      <c r="Q421" s="45"/>
      <c r="W421" s="45"/>
      <c r="Y421" s="45"/>
      <c r="AA421" s="45"/>
      <c r="AE421" s="45"/>
      <c r="AG421" s="45"/>
      <c r="AI421" s="45"/>
      <c r="AK421" s="45"/>
      <c r="AM421" s="45"/>
    </row>
    <row r="422" spans="1:39" ht="12.75" customHeight="1">
      <c r="A422" s="24"/>
      <c r="C422" s="42"/>
      <c r="D422" s="73"/>
      <c r="E422" s="45"/>
      <c r="F422" s="44"/>
      <c r="G422" s="45"/>
      <c r="I422" s="45"/>
      <c r="K422" s="45"/>
      <c r="M422" s="45"/>
      <c r="O422" s="45"/>
      <c r="Q422" s="45"/>
      <c r="W422" s="45"/>
      <c r="Y422" s="45"/>
      <c r="AA422" s="45"/>
      <c r="AE422" s="45"/>
      <c r="AG422" s="45"/>
      <c r="AI422" s="45"/>
      <c r="AK422" s="45"/>
      <c r="AM422" s="45"/>
    </row>
    <row r="423" spans="1:39" ht="12.75" customHeight="1">
      <c r="A423" s="24"/>
      <c r="C423" s="42"/>
      <c r="D423" s="73"/>
      <c r="E423" s="45"/>
      <c r="F423" s="44"/>
      <c r="G423" s="45"/>
      <c r="I423" s="45"/>
      <c r="K423" s="45"/>
      <c r="M423" s="45"/>
      <c r="O423" s="45"/>
      <c r="Q423" s="45"/>
      <c r="W423" s="45"/>
      <c r="Y423" s="45"/>
      <c r="AA423" s="45"/>
      <c r="AE423" s="45"/>
      <c r="AG423" s="45"/>
      <c r="AI423" s="45"/>
      <c r="AK423" s="45"/>
      <c r="AM423" s="45"/>
    </row>
    <row r="424" spans="1:39" ht="12.75" customHeight="1">
      <c r="A424" s="24"/>
      <c r="C424" s="42"/>
      <c r="D424" s="73"/>
      <c r="E424" s="45"/>
      <c r="F424" s="44"/>
      <c r="G424" s="45"/>
      <c r="I424" s="45"/>
      <c r="K424" s="45"/>
      <c r="M424" s="45"/>
      <c r="O424" s="45"/>
      <c r="Q424" s="45"/>
      <c r="W424" s="45"/>
      <c r="Y424" s="45"/>
      <c r="AA424" s="45"/>
      <c r="AE424" s="45"/>
      <c r="AG424" s="45"/>
      <c r="AI424" s="45"/>
      <c r="AK424" s="45"/>
      <c r="AM424" s="45"/>
    </row>
    <row r="425" spans="1:39" ht="12.75" customHeight="1">
      <c r="A425" s="24"/>
      <c r="C425" s="42"/>
      <c r="D425" s="73"/>
      <c r="E425" s="45"/>
      <c r="F425" s="44"/>
      <c r="G425" s="45"/>
      <c r="I425" s="45"/>
      <c r="K425" s="45"/>
      <c r="M425" s="45"/>
      <c r="O425" s="45"/>
      <c r="Q425" s="45"/>
      <c r="W425" s="45"/>
      <c r="Y425" s="45"/>
      <c r="AA425" s="45"/>
      <c r="AE425" s="45"/>
      <c r="AG425" s="45"/>
      <c r="AI425" s="45"/>
      <c r="AK425" s="45"/>
      <c r="AM425" s="45"/>
    </row>
    <row r="426" spans="1:39" ht="12.75" customHeight="1">
      <c r="A426" s="24"/>
      <c r="C426" s="42"/>
      <c r="D426" s="73"/>
      <c r="E426" s="45"/>
      <c r="F426" s="44"/>
      <c r="G426" s="45"/>
      <c r="I426" s="45"/>
      <c r="K426" s="45"/>
      <c r="M426" s="45"/>
      <c r="O426" s="45"/>
      <c r="Q426" s="45"/>
      <c r="W426" s="45"/>
      <c r="Y426" s="45"/>
      <c r="AA426" s="45"/>
      <c r="AE426" s="45"/>
      <c r="AG426" s="45"/>
      <c r="AI426" s="45"/>
      <c r="AK426" s="45"/>
      <c r="AM426" s="45"/>
    </row>
    <row r="427" spans="1:39" ht="12.75" customHeight="1">
      <c r="A427" s="24"/>
      <c r="C427" s="42"/>
      <c r="D427" s="73"/>
      <c r="E427" s="45"/>
      <c r="F427" s="44"/>
      <c r="G427" s="45"/>
      <c r="I427" s="45"/>
      <c r="K427" s="45"/>
      <c r="M427" s="45"/>
      <c r="O427" s="45"/>
      <c r="Q427" s="45"/>
      <c r="W427" s="45"/>
      <c r="Y427" s="45"/>
      <c r="AA427" s="45"/>
      <c r="AE427" s="45"/>
      <c r="AG427" s="45"/>
      <c r="AI427" s="45"/>
      <c r="AK427" s="45"/>
      <c r="AM427" s="45"/>
    </row>
    <row r="428" spans="1:39" ht="12.75" customHeight="1">
      <c r="A428" s="24"/>
      <c r="C428" s="42"/>
      <c r="D428" s="73"/>
      <c r="E428" s="45"/>
      <c r="F428" s="44"/>
      <c r="G428" s="45"/>
      <c r="I428" s="45"/>
      <c r="K428" s="45"/>
      <c r="M428" s="45"/>
      <c r="O428" s="45"/>
      <c r="Q428" s="45"/>
      <c r="W428" s="45"/>
      <c r="Y428" s="45"/>
      <c r="AA428" s="45"/>
      <c r="AE428" s="45"/>
      <c r="AG428" s="45"/>
      <c r="AI428" s="45"/>
      <c r="AK428" s="45"/>
      <c r="AM428" s="45"/>
    </row>
    <row r="429" spans="1:39" ht="12.75" customHeight="1">
      <c r="A429" s="24"/>
      <c r="C429" s="42"/>
      <c r="D429" s="73"/>
      <c r="E429" s="45"/>
      <c r="F429" s="44"/>
      <c r="G429" s="45"/>
      <c r="I429" s="45"/>
      <c r="K429" s="45"/>
      <c r="M429" s="45"/>
      <c r="O429" s="45"/>
      <c r="Q429" s="45"/>
      <c r="W429" s="45"/>
      <c r="Y429" s="45"/>
      <c r="AA429" s="45"/>
      <c r="AE429" s="45"/>
      <c r="AG429" s="45"/>
      <c r="AI429" s="45"/>
      <c r="AK429" s="45"/>
      <c r="AM429" s="45"/>
    </row>
    <row r="430" spans="1:39" ht="12.75" customHeight="1">
      <c r="A430" s="24"/>
      <c r="C430" s="42"/>
      <c r="D430" s="73"/>
      <c r="E430" s="45"/>
      <c r="F430" s="44"/>
      <c r="G430" s="45"/>
      <c r="I430" s="45"/>
      <c r="K430" s="45"/>
      <c r="M430" s="45"/>
      <c r="O430" s="45"/>
      <c r="Q430" s="45"/>
      <c r="W430" s="45"/>
      <c r="Y430" s="45"/>
      <c r="AA430" s="45"/>
      <c r="AE430" s="45"/>
      <c r="AG430" s="45"/>
      <c r="AI430" s="45"/>
      <c r="AK430" s="45"/>
      <c r="AM430" s="45"/>
    </row>
    <row r="431" spans="1:39" ht="12.75" customHeight="1">
      <c r="A431" s="24"/>
      <c r="C431" s="42"/>
      <c r="D431" s="73"/>
      <c r="E431" s="45"/>
      <c r="F431" s="44"/>
      <c r="G431" s="45"/>
      <c r="I431" s="45"/>
      <c r="K431" s="45"/>
      <c r="M431" s="45"/>
      <c r="O431" s="45"/>
      <c r="Q431" s="45"/>
      <c r="W431" s="45"/>
      <c r="Y431" s="45"/>
      <c r="AA431" s="45"/>
      <c r="AE431" s="45"/>
      <c r="AG431" s="45"/>
      <c r="AI431" s="45"/>
      <c r="AK431" s="45"/>
      <c r="AM431" s="45"/>
    </row>
    <row r="432" spans="1:39" ht="12.75" customHeight="1">
      <c r="A432" s="24"/>
      <c r="C432" s="42"/>
      <c r="D432" s="73"/>
      <c r="E432" s="45"/>
      <c r="F432" s="44"/>
      <c r="G432" s="45"/>
      <c r="I432" s="45"/>
      <c r="K432" s="45"/>
      <c r="M432" s="45"/>
      <c r="O432" s="45"/>
      <c r="Q432" s="45"/>
      <c r="W432" s="45"/>
      <c r="Y432" s="45"/>
      <c r="AA432" s="45"/>
      <c r="AE432" s="45"/>
      <c r="AG432" s="45"/>
      <c r="AI432" s="45"/>
      <c r="AK432" s="45"/>
      <c r="AM432" s="45"/>
    </row>
    <row r="433" spans="1:39" ht="12.75" customHeight="1">
      <c r="A433" s="24"/>
      <c r="C433" s="42"/>
      <c r="D433" s="73"/>
      <c r="E433" s="45"/>
      <c r="F433" s="44"/>
      <c r="G433" s="45"/>
      <c r="I433" s="45"/>
      <c r="K433" s="45"/>
      <c r="M433" s="45"/>
      <c r="O433" s="45"/>
      <c r="Q433" s="45"/>
      <c r="W433" s="45"/>
      <c r="Y433" s="45"/>
      <c r="AA433" s="45"/>
      <c r="AE433" s="45"/>
      <c r="AG433" s="45"/>
      <c r="AI433" s="45"/>
      <c r="AK433" s="45"/>
      <c r="AM433" s="45"/>
    </row>
    <row r="434" spans="1:39" ht="12.75" customHeight="1">
      <c r="A434" s="24"/>
      <c r="C434" s="42"/>
      <c r="D434" s="73"/>
      <c r="E434" s="45"/>
      <c r="F434" s="44"/>
      <c r="G434" s="45"/>
      <c r="I434" s="45"/>
      <c r="K434" s="45"/>
      <c r="M434" s="45"/>
      <c r="O434" s="45"/>
      <c r="Q434" s="45"/>
      <c r="W434" s="45"/>
      <c r="Y434" s="45"/>
      <c r="AA434" s="45"/>
      <c r="AE434" s="45"/>
      <c r="AG434" s="45"/>
      <c r="AI434" s="45"/>
      <c r="AK434" s="45"/>
      <c r="AM434" s="45"/>
    </row>
    <row r="435" spans="1:39" ht="12.75" customHeight="1">
      <c r="A435" s="24"/>
      <c r="C435" s="42"/>
      <c r="D435" s="73"/>
      <c r="E435" s="45"/>
      <c r="F435" s="44"/>
      <c r="G435" s="45"/>
      <c r="I435" s="45"/>
      <c r="K435" s="45"/>
      <c r="M435" s="45"/>
      <c r="O435" s="45"/>
      <c r="Q435" s="45"/>
      <c r="W435" s="45"/>
      <c r="Y435" s="45"/>
      <c r="AA435" s="45"/>
      <c r="AE435" s="45"/>
      <c r="AG435" s="45"/>
      <c r="AI435" s="45"/>
      <c r="AK435" s="45"/>
      <c r="AM435" s="45"/>
    </row>
    <row r="436" spans="1:39" ht="12.75" customHeight="1">
      <c r="A436" s="24"/>
      <c r="C436" s="42"/>
      <c r="D436" s="73"/>
      <c r="E436" s="45"/>
      <c r="F436" s="44"/>
      <c r="G436" s="45"/>
      <c r="I436" s="45"/>
      <c r="K436" s="45"/>
      <c r="M436" s="45"/>
      <c r="O436" s="45"/>
      <c r="Q436" s="45"/>
      <c r="W436" s="45"/>
      <c r="Y436" s="45"/>
      <c r="AA436" s="45"/>
      <c r="AE436" s="45"/>
      <c r="AG436" s="45"/>
      <c r="AI436" s="45"/>
      <c r="AK436" s="45"/>
      <c r="AM436" s="45"/>
    </row>
    <row r="437" spans="1:39" ht="12.75" customHeight="1">
      <c r="A437" s="24"/>
      <c r="C437" s="42"/>
      <c r="D437" s="73"/>
      <c r="E437" s="45"/>
      <c r="F437" s="44"/>
      <c r="G437" s="45"/>
      <c r="I437" s="45"/>
      <c r="K437" s="45"/>
      <c r="M437" s="45"/>
      <c r="O437" s="45"/>
      <c r="Q437" s="45"/>
      <c r="W437" s="45"/>
      <c r="Y437" s="45"/>
      <c r="AA437" s="45"/>
      <c r="AE437" s="45"/>
      <c r="AG437" s="45"/>
      <c r="AI437" s="45"/>
      <c r="AK437" s="45"/>
      <c r="AM437" s="45"/>
    </row>
    <row r="438" spans="1:39" ht="12.75" customHeight="1">
      <c r="A438" s="24"/>
      <c r="C438" s="42"/>
      <c r="D438" s="73"/>
      <c r="E438" s="45"/>
      <c r="F438" s="44"/>
      <c r="G438" s="45"/>
      <c r="I438" s="45"/>
      <c r="K438" s="45"/>
      <c r="M438" s="45"/>
      <c r="O438" s="45"/>
      <c r="Q438" s="45"/>
      <c r="W438" s="45"/>
      <c r="Y438" s="45"/>
      <c r="AA438" s="45"/>
      <c r="AE438" s="45"/>
      <c r="AG438" s="45"/>
      <c r="AI438" s="45"/>
      <c r="AK438" s="45"/>
      <c r="AM438" s="45"/>
    </row>
    <row r="439" spans="1:39" ht="12.75" customHeight="1">
      <c r="A439" s="24"/>
      <c r="C439" s="42"/>
      <c r="D439" s="73"/>
      <c r="E439" s="45"/>
      <c r="F439" s="44"/>
      <c r="G439" s="45"/>
      <c r="I439" s="45"/>
      <c r="K439" s="45"/>
      <c r="M439" s="45"/>
      <c r="O439" s="45"/>
      <c r="Q439" s="45"/>
      <c r="W439" s="45"/>
      <c r="Y439" s="45"/>
      <c r="AA439" s="45"/>
      <c r="AE439" s="45"/>
      <c r="AG439" s="45"/>
      <c r="AI439" s="45"/>
      <c r="AK439" s="45"/>
      <c r="AM439" s="45"/>
    </row>
    <row r="440" spans="1:39" ht="12.75" customHeight="1">
      <c r="A440" s="24"/>
      <c r="C440" s="42"/>
      <c r="D440" s="73"/>
      <c r="E440" s="45"/>
      <c r="F440" s="44"/>
      <c r="G440" s="45"/>
      <c r="I440" s="45"/>
      <c r="K440" s="45"/>
      <c r="M440" s="45"/>
      <c r="O440" s="45"/>
      <c r="Q440" s="45"/>
      <c r="W440" s="45"/>
      <c r="Y440" s="45"/>
      <c r="AA440" s="45"/>
      <c r="AE440" s="45"/>
      <c r="AG440" s="45"/>
      <c r="AI440" s="45"/>
      <c r="AK440" s="45"/>
      <c r="AM440" s="45"/>
    </row>
    <row r="441" spans="1:39" ht="12.75" customHeight="1">
      <c r="A441" s="24"/>
      <c r="C441" s="42"/>
      <c r="D441" s="73"/>
      <c r="E441" s="45"/>
      <c r="F441" s="44"/>
      <c r="G441" s="45"/>
      <c r="I441" s="45"/>
      <c r="K441" s="45"/>
      <c r="M441" s="45"/>
      <c r="O441" s="45"/>
      <c r="Q441" s="45"/>
      <c r="W441" s="45"/>
      <c r="Y441" s="45"/>
      <c r="AA441" s="45"/>
      <c r="AE441" s="45"/>
      <c r="AG441" s="45"/>
      <c r="AI441" s="45"/>
      <c r="AK441" s="45"/>
      <c r="AM441" s="45"/>
    </row>
    <row r="442" spans="1:39" ht="12.75" customHeight="1">
      <c r="A442" s="24"/>
      <c r="C442" s="42"/>
      <c r="D442" s="73"/>
      <c r="E442" s="45"/>
      <c r="F442" s="44"/>
      <c r="G442" s="45"/>
      <c r="I442" s="45"/>
      <c r="K442" s="45"/>
      <c r="M442" s="45"/>
      <c r="O442" s="45"/>
      <c r="Q442" s="45"/>
      <c r="W442" s="45"/>
      <c r="Y442" s="45"/>
      <c r="AA442" s="45"/>
      <c r="AE442" s="45"/>
      <c r="AG442" s="45"/>
      <c r="AI442" s="45"/>
      <c r="AK442" s="45"/>
      <c r="AM442" s="45"/>
    </row>
    <row r="443" spans="1:39" ht="12.75" customHeight="1">
      <c r="A443" s="24"/>
      <c r="C443" s="42"/>
      <c r="D443" s="73"/>
      <c r="E443" s="45"/>
      <c r="F443" s="44"/>
      <c r="G443" s="45"/>
      <c r="I443" s="45"/>
      <c r="K443" s="45"/>
      <c r="M443" s="45"/>
      <c r="O443" s="45"/>
      <c r="Q443" s="45"/>
      <c r="W443" s="45"/>
      <c r="Y443" s="45"/>
      <c r="AA443" s="45"/>
      <c r="AE443" s="45"/>
      <c r="AG443" s="45"/>
      <c r="AI443" s="45"/>
      <c r="AK443" s="45"/>
      <c r="AM443" s="45"/>
    </row>
    <row r="444" spans="1:39" ht="12.75" customHeight="1">
      <c r="A444" s="24"/>
      <c r="C444" s="42"/>
      <c r="D444" s="73"/>
      <c r="E444" s="45"/>
      <c r="F444" s="44"/>
      <c r="G444" s="45"/>
      <c r="I444" s="45"/>
      <c r="K444" s="45"/>
      <c r="M444" s="45"/>
      <c r="O444" s="45"/>
      <c r="Q444" s="45"/>
      <c r="W444" s="45"/>
      <c r="Y444" s="45"/>
      <c r="AA444" s="45"/>
      <c r="AE444" s="45"/>
      <c r="AG444" s="45"/>
      <c r="AI444" s="45"/>
      <c r="AK444" s="45"/>
      <c r="AM444" s="45"/>
    </row>
    <row r="445" spans="1:39" ht="12.75" customHeight="1">
      <c r="A445" s="24"/>
      <c r="C445" s="42"/>
      <c r="D445" s="73"/>
      <c r="E445" s="45"/>
      <c r="F445" s="44"/>
      <c r="G445" s="45"/>
      <c r="I445" s="45"/>
      <c r="K445" s="45"/>
      <c r="M445" s="45"/>
      <c r="O445" s="45"/>
      <c r="Q445" s="45"/>
      <c r="W445" s="45"/>
      <c r="Y445" s="45"/>
      <c r="AA445" s="45"/>
      <c r="AE445" s="45"/>
      <c r="AG445" s="45"/>
      <c r="AI445" s="45"/>
      <c r="AK445" s="45"/>
      <c r="AM445" s="45"/>
    </row>
    <row r="446" spans="1:39" ht="12.75" customHeight="1">
      <c r="A446" s="24"/>
      <c r="C446" s="42"/>
      <c r="D446" s="73"/>
      <c r="E446" s="45"/>
      <c r="F446" s="44"/>
      <c r="G446" s="45"/>
      <c r="I446" s="45"/>
      <c r="K446" s="45"/>
      <c r="M446" s="45"/>
      <c r="O446" s="45"/>
      <c r="Q446" s="45"/>
      <c r="W446" s="45"/>
      <c r="Y446" s="45"/>
      <c r="AA446" s="45"/>
      <c r="AE446" s="45"/>
      <c r="AG446" s="45"/>
      <c r="AI446" s="45"/>
      <c r="AK446" s="45"/>
      <c r="AM446" s="45"/>
    </row>
    <row r="447" spans="1:39" ht="12.75" customHeight="1">
      <c r="A447" s="24"/>
      <c r="C447" s="42"/>
      <c r="D447" s="73"/>
      <c r="E447" s="45"/>
      <c r="F447" s="44"/>
      <c r="G447" s="45"/>
      <c r="I447" s="45"/>
      <c r="K447" s="45"/>
      <c r="M447" s="45"/>
      <c r="O447" s="45"/>
      <c r="Q447" s="45"/>
      <c r="W447" s="45"/>
      <c r="Y447" s="45"/>
      <c r="AA447" s="45"/>
      <c r="AE447" s="45"/>
      <c r="AG447" s="45"/>
      <c r="AI447" s="45"/>
      <c r="AK447" s="45"/>
      <c r="AM447" s="45"/>
    </row>
    <row r="448" spans="1:39" ht="12.75" customHeight="1">
      <c r="A448" s="24"/>
      <c r="C448" s="42"/>
      <c r="D448" s="73"/>
      <c r="E448" s="45"/>
      <c r="F448" s="44"/>
      <c r="G448" s="45"/>
      <c r="I448" s="45"/>
      <c r="K448" s="45"/>
      <c r="M448" s="45"/>
      <c r="O448" s="45"/>
      <c r="Q448" s="45"/>
      <c r="W448" s="45"/>
      <c r="Y448" s="45"/>
      <c r="AA448" s="45"/>
      <c r="AE448" s="45"/>
      <c r="AG448" s="45"/>
      <c r="AI448" s="45"/>
      <c r="AK448" s="45"/>
      <c r="AM448" s="45"/>
    </row>
    <row r="449" spans="1:39" ht="12.75" customHeight="1">
      <c r="A449" s="24"/>
      <c r="C449" s="42"/>
      <c r="D449" s="73"/>
      <c r="E449" s="45"/>
      <c r="F449" s="44"/>
      <c r="G449" s="45"/>
      <c r="I449" s="45"/>
      <c r="K449" s="45"/>
      <c r="M449" s="45"/>
      <c r="O449" s="45"/>
      <c r="Q449" s="45"/>
      <c r="W449" s="45"/>
      <c r="Y449" s="45"/>
      <c r="AA449" s="45"/>
      <c r="AE449" s="45"/>
      <c r="AG449" s="45"/>
      <c r="AI449" s="45"/>
      <c r="AK449" s="45"/>
      <c r="AM449" s="45"/>
    </row>
    <row r="450" spans="1:39" ht="12.75" customHeight="1">
      <c r="A450" s="24"/>
      <c r="C450" s="42"/>
      <c r="D450" s="73"/>
      <c r="E450" s="45"/>
      <c r="F450" s="44"/>
      <c r="G450" s="45"/>
      <c r="I450" s="45"/>
      <c r="K450" s="45"/>
      <c r="M450" s="45"/>
      <c r="O450" s="45"/>
      <c r="Q450" s="45"/>
      <c r="W450" s="45"/>
      <c r="Y450" s="45"/>
      <c r="AA450" s="45"/>
      <c r="AE450" s="45"/>
      <c r="AG450" s="45"/>
      <c r="AI450" s="45"/>
      <c r="AK450" s="45"/>
      <c r="AM450" s="45"/>
    </row>
    <row r="451" spans="1:39" ht="12.75" customHeight="1">
      <c r="A451" s="24"/>
      <c r="C451" s="42"/>
      <c r="D451" s="73"/>
      <c r="E451" s="45"/>
      <c r="F451" s="44"/>
      <c r="G451" s="45"/>
      <c r="I451" s="45"/>
      <c r="K451" s="45"/>
      <c r="M451" s="45"/>
      <c r="O451" s="45"/>
      <c r="Q451" s="45"/>
      <c r="W451" s="45"/>
      <c r="Y451" s="45"/>
      <c r="AA451" s="45"/>
      <c r="AE451" s="45"/>
      <c r="AG451" s="45"/>
      <c r="AI451" s="45"/>
      <c r="AK451" s="45"/>
      <c r="AM451" s="45"/>
    </row>
    <row r="452" spans="1:39" ht="12.75" customHeight="1">
      <c r="A452" s="24"/>
      <c r="C452" s="42"/>
      <c r="D452" s="73"/>
      <c r="E452" s="45"/>
      <c r="F452" s="44"/>
      <c r="G452" s="45"/>
      <c r="I452" s="45"/>
      <c r="K452" s="45"/>
      <c r="M452" s="45"/>
      <c r="O452" s="45"/>
      <c r="Q452" s="45"/>
      <c r="W452" s="45"/>
      <c r="Y452" s="45"/>
      <c r="AA452" s="45"/>
      <c r="AE452" s="45"/>
      <c r="AG452" s="45"/>
      <c r="AI452" s="45"/>
      <c r="AK452" s="45"/>
      <c r="AM452" s="45"/>
    </row>
    <row r="453" spans="1:39" ht="12.75" customHeight="1">
      <c r="A453" s="24"/>
      <c r="C453" s="42"/>
      <c r="D453" s="73"/>
      <c r="E453" s="45"/>
      <c r="F453" s="44"/>
      <c r="G453" s="45"/>
      <c r="I453" s="45"/>
      <c r="K453" s="45"/>
      <c r="M453" s="45"/>
      <c r="O453" s="45"/>
      <c r="Q453" s="45"/>
      <c r="W453" s="45"/>
      <c r="Y453" s="45"/>
      <c r="AA453" s="45"/>
      <c r="AE453" s="45"/>
      <c r="AG453" s="45"/>
      <c r="AI453" s="45"/>
      <c r="AK453" s="45"/>
      <c r="AM453" s="45"/>
    </row>
    <row r="454" spans="1:39" ht="12.75" customHeight="1">
      <c r="A454" s="24"/>
      <c r="C454" s="42"/>
      <c r="D454" s="73"/>
      <c r="E454" s="45"/>
      <c r="F454" s="44"/>
      <c r="G454" s="45"/>
      <c r="I454" s="45"/>
      <c r="K454" s="45"/>
      <c r="M454" s="45"/>
      <c r="O454" s="45"/>
      <c r="Q454" s="45"/>
      <c r="W454" s="45"/>
      <c r="Y454" s="45"/>
      <c r="AA454" s="45"/>
      <c r="AE454" s="45"/>
      <c r="AG454" s="45"/>
      <c r="AI454" s="45"/>
      <c r="AK454" s="45"/>
      <c r="AM454" s="45"/>
    </row>
    <row r="455" spans="1:39" ht="12.75" customHeight="1">
      <c r="A455" s="24"/>
      <c r="C455" s="42"/>
      <c r="D455" s="73"/>
      <c r="E455" s="45"/>
      <c r="F455" s="44"/>
      <c r="G455" s="45"/>
      <c r="I455" s="45"/>
      <c r="K455" s="45"/>
      <c r="M455" s="45"/>
      <c r="O455" s="45"/>
      <c r="Q455" s="45"/>
      <c r="W455" s="45"/>
      <c r="Y455" s="45"/>
      <c r="AA455" s="45"/>
      <c r="AE455" s="45"/>
      <c r="AG455" s="45"/>
      <c r="AI455" s="45"/>
      <c r="AK455" s="45"/>
      <c r="AM455" s="45"/>
    </row>
    <row r="456" spans="1:39" ht="12.75" customHeight="1">
      <c r="A456" s="24"/>
      <c r="C456" s="42"/>
      <c r="D456" s="73"/>
      <c r="E456" s="45"/>
      <c r="F456" s="44"/>
      <c r="G456" s="45"/>
      <c r="I456" s="45"/>
      <c r="K456" s="45"/>
      <c r="M456" s="45"/>
      <c r="O456" s="45"/>
      <c r="Q456" s="45"/>
      <c r="W456" s="45"/>
      <c r="Y456" s="45"/>
      <c r="AA456" s="45"/>
      <c r="AE456" s="45"/>
      <c r="AG456" s="45"/>
      <c r="AI456" s="45"/>
      <c r="AK456" s="45"/>
      <c r="AM456" s="45"/>
    </row>
    <row r="457" spans="1:39" ht="12.75" customHeight="1">
      <c r="A457" s="24"/>
      <c r="C457" s="42"/>
      <c r="D457" s="73"/>
      <c r="E457" s="45"/>
      <c r="F457" s="44"/>
      <c r="G457" s="45"/>
      <c r="I457" s="45"/>
      <c r="K457" s="45"/>
      <c r="M457" s="45"/>
      <c r="O457" s="45"/>
      <c r="Q457" s="45"/>
      <c r="W457" s="45"/>
      <c r="Y457" s="45"/>
      <c r="AA457" s="45"/>
      <c r="AE457" s="45"/>
      <c r="AG457" s="45"/>
      <c r="AI457" s="45"/>
      <c r="AK457" s="45"/>
      <c r="AM457" s="45"/>
    </row>
    <row r="458" spans="1:39" ht="12.75" customHeight="1">
      <c r="A458" s="24"/>
      <c r="C458" s="42"/>
      <c r="D458" s="73"/>
      <c r="E458" s="45"/>
      <c r="F458" s="44"/>
      <c r="G458" s="45"/>
      <c r="I458" s="45"/>
      <c r="K458" s="45"/>
      <c r="M458" s="45"/>
      <c r="O458" s="45"/>
      <c r="Q458" s="45"/>
      <c r="W458" s="45"/>
      <c r="Y458" s="45"/>
      <c r="AA458" s="45"/>
      <c r="AE458" s="45"/>
      <c r="AG458" s="45"/>
      <c r="AI458" s="45"/>
      <c r="AK458" s="45"/>
      <c r="AM458" s="45"/>
    </row>
    <row r="459" spans="1:39" ht="12.75" customHeight="1">
      <c r="A459" s="24"/>
      <c r="C459" s="42"/>
      <c r="D459" s="73"/>
      <c r="E459" s="45"/>
      <c r="F459" s="44"/>
      <c r="G459" s="45"/>
      <c r="I459" s="45"/>
      <c r="K459" s="45"/>
      <c r="M459" s="45"/>
      <c r="O459" s="45"/>
      <c r="Q459" s="45"/>
      <c r="W459" s="45"/>
      <c r="Y459" s="45"/>
      <c r="AA459" s="45"/>
      <c r="AE459" s="45"/>
      <c r="AG459" s="45"/>
      <c r="AI459" s="45"/>
      <c r="AK459" s="45"/>
      <c r="AM459" s="45"/>
    </row>
    <row r="460" spans="1:39" ht="12.75" customHeight="1">
      <c r="A460" s="24"/>
      <c r="C460" s="42"/>
      <c r="D460" s="73"/>
      <c r="E460" s="45"/>
      <c r="F460" s="44"/>
      <c r="G460" s="45"/>
      <c r="I460" s="45"/>
      <c r="K460" s="45"/>
      <c r="M460" s="45"/>
      <c r="O460" s="45"/>
      <c r="Q460" s="45"/>
      <c r="W460" s="45"/>
      <c r="Y460" s="45"/>
      <c r="AA460" s="45"/>
      <c r="AE460" s="45"/>
      <c r="AG460" s="45"/>
      <c r="AI460" s="45"/>
      <c r="AK460" s="45"/>
      <c r="AM460" s="45"/>
    </row>
    <row r="461" spans="1:39" ht="12.75" customHeight="1">
      <c r="A461" s="24"/>
      <c r="C461" s="42"/>
      <c r="D461" s="73"/>
      <c r="E461" s="45"/>
      <c r="F461" s="44"/>
      <c r="G461" s="45"/>
      <c r="I461" s="45"/>
      <c r="K461" s="45"/>
      <c r="M461" s="45"/>
      <c r="O461" s="45"/>
      <c r="Q461" s="45"/>
      <c r="W461" s="45"/>
      <c r="Y461" s="45"/>
      <c r="AA461" s="45"/>
      <c r="AE461" s="45"/>
      <c r="AG461" s="45"/>
      <c r="AI461" s="45"/>
      <c r="AK461" s="45"/>
      <c r="AM461" s="45"/>
    </row>
    <row r="462" spans="1:39" ht="12.75" customHeight="1">
      <c r="A462" s="24"/>
      <c r="C462" s="42"/>
      <c r="D462" s="73"/>
      <c r="E462" s="45"/>
      <c r="F462" s="44"/>
      <c r="G462" s="45"/>
      <c r="I462" s="45"/>
      <c r="K462" s="45"/>
      <c r="M462" s="45"/>
      <c r="O462" s="45"/>
      <c r="Q462" s="45"/>
      <c r="W462" s="45"/>
      <c r="Y462" s="45"/>
      <c r="AA462" s="45"/>
      <c r="AE462" s="45"/>
      <c r="AG462" s="45"/>
      <c r="AI462" s="45"/>
      <c r="AK462" s="45"/>
      <c r="AM462" s="45"/>
    </row>
    <row r="463" spans="1:39" ht="12.75" customHeight="1">
      <c r="A463" s="24"/>
      <c r="C463" s="42"/>
      <c r="D463" s="73"/>
      <c r="E463" s="45"/>
      <c r="F463" s="44"/>
      <c r="G463" s="45"/>
      <c r="I463" s="45"/>
      <c r="K463" s="45"/>
      <c r="M463" s="45"/>
      <c r="O463" s="45"/>
      <c r="Q463" s="45"/>
      <c r="W463" s="45"/>
      <c r="Y463" s="45"/>
      <c r="AA463" s="45"/>
      <c r="AE463" s="45"/>
      <c r="AG463" s="45"/>
      <c r="AI463" s="45"/>
      <c r="AK463" s="45"/>
      <c r="AM463" s="45"/>
    </row>
    <row r="464" spans="1:39" ht="12.75" customHeight="1">
      <c r="A464" s="24"/>
      <c r="C464" s="42"/>
      <c r="D464" s="73"/>
      <c r="E464" s="45"/>
      <c r="F464" s="44"/>
      <c r="G464" s="45"/>
      <c r="I464" s="45"/>
      <c r="K464" s="45"/>
      <c r="M464" s="45"/>
      <c r="O464" s="45"/>
      <c r="Q464" s="45"/>
      <c r="W464" s="45"/>
      <c r="Y464" s="45"/>
      <c r="AA464" s="45"/>
      <c r="AE464" s="45"/>
      <c r="AG464" s="45"/>
      <c r="AI464" s="45"/>
      <c r="AK464" s="45"/>
      <c r="AM464" s="45"/>
    </row>
    <row r="465" spans="1:39" ht="12.75" customHeight="1">
      <c r="A465" s="24"/>
      <c r="C465" s="42"/>
      <c r="D465" s="73"/>
      <c r="E465" s="45"/>
      <c r="F465" s="44"/>
      <c r="G465" s="45"/>
      <c r="I465" s="45"/>
      <c r="K465" s="45"/>
      <c r="M465" s="45"/>
      <c r="O465" s="45"/>
      <c r="Q465" s="45"/>
      <c r="W465" s="45"/>
      <c r="Y465" s="45"/>
      <c r="AA465" s="45"/>
      <c r="AE465" s="45"/>
      <c r="AG465" s="45"/>
      <c r="AI465" s="45"/>
      <c r="AK465" s="45"/>
      <c r="AM465" s="45"/>
    </row>
    <row r="466" spans="1:39" ht="12.75" customHeight="1">
      <c r="A466" s="24"/>
      <c r="C466" s="42"/>
      <c r="D466" s="73"/>
      <c r="E466" s="45"/>
      <c r="F466" s="44"/>
      <c r="G466" s="45"/>
      <c r="I466" s="45"/>
      <c r="K466" s="45"/>
      <c r="M466" s="45"/>
      <c r="O466" s="45"/>
      <c r="Q466" s="45"/>
      <c r="W466" s="45"/>
      <c r="Y466" s="45"/>
      <c r="AA466" s="45"/>
      <c r="AE466" s="45"/>
      <c r="AG466" s="45"/>
      <c r="AI466" s="45"/>
      <c r="AK466" s="45"/>
      <c r="AM466" s="45"/>
    </row>
    <row r="467" spans="1:39" ht="12.75" customHeight="1">
      <c r="A467" s="24"/>
      <c r="C467" s="42"/>
      <c r="D467" s="73"/>
      <c r="E467" s="45"/>
      <c r="F467" s="44"/>
      <c r="G467" s="45"/>
      <c r="I467" s="45"/>
      <c r="K467" s="45"/>
      <c r="M467" s="45"/>
      <c r="O467" s="45"/>
      <c r="Q467" s="45"/>
      <c r="W467" s="45"/>
      <c r="Y467" s="45"/>
      <c r="AA467" s="45"/>
      <c r="AE467" s="45"/>
      <c r="AG467" s="45"/>
      <c r="AI467" s="45"/>
      <c r="AK467" s="45"/>
      <c r="AM467" s="45"/>
    </row>
    <row r="468" spans="1:39" ht="12.75" customHeight="1">
      <c r="A468" s="24"/>
      <c r="C468" s="42"/>
      <c r="D468" s="73"/>
      <c r="E468" s="45"/>
      <c r="F468" s="44"/>
      <c r="G468" s="45"/>
      <c r="I468" s="45"/>
      <c r="K468" s="45"/>
      <c r="M468" s="45"/>
      <c r="O468" s="45"/>
      <c r="Q468" s="45"/>
      <c r="W468" s="45"/>
      <c r="Y468" s="45"/>
      <c r="AA468" s="45"/>
      <c r="AE468" s="45"/>
      <c r="AG468" s="45"/>
      <c r="AI468" s="45"/>
      <c r="AK468" s="45"/>
      <c r="AM468" s="45"/>
    </row>
    <row r="469" spans="1:39" ht="12.75" customHeight="1">
      <c r="A469" s="24"/>
      <c r="C469" s="42"/>
      <c r="D469" s="73"/>
      <c r="E469" s="45"/>
      <c r="F469" s="44"/>
      <c r="G469" s="45"/>
      <c r="I469" s="45"/>
      <c r="K469" s="45"/>
      <c r="M469" s="45"/>
      <c r="O469" s="45"/>
      <c r="Q469" s="45"/>
      <c r="W469" s="45"/>
      <c r="Y469" s="45"/>
      <c r="AA469" s="45"/>
      <c r="AE469" s="45"/>
      <c r="AG469" s="45"/>
      <c r="AI469" s="45"/>
      <c r="AK469" s="45"/>
      <c r="AM469" s="45"/>
    </row>
    <row r="470" spans="1:39" ht="12.75" customHeight="1">
      <c r="A470" s="24"/>
      <c r="C470" s="42"/>
      <c r="D470" s="73"/>
      <c r="E470" s="45"/>
      <c r="F470" s="44"/>
      <c r="G470" s="45"/>
      <c r="I470" s="45"/>
      <c r="K470" s="45"/>
      <c r="M470" s="45"/>
      <c r="O470" s="45"/>
      <c r="Q470" s="45"/>
      <c r="W470" s="45"/>
      <c r="Y470" s="45"/>
      <c r="AA470" s="45"/>
      <c r="AE470" s="45"/>
      <c r="AG470" s="45"/>
      <c r="AI470" s="45"/>
      <c r="AK470" s="45"/>
      <c r="AM470" s="45"/>
    </row>
    <row r="471" spans="1:39" ht="12.75" customHeight="1">
      <c r="A471" s="24"/>
      <c r="C471" s="42"/>
      <c r="D471" s="73"/>
      <c r="E471" s="45"/>
      <c r="F471" s="44"/>
      <c r="G471" s="45"/>
      <c r="I471" s="45"/>
      <c r="K471" s="45"/>
      <c r="M471" s="45"/>
      <c r="O471" s="45"/>
      <c r="Q471" s="45"/>
      <c r="W471" s="45"/>
      <c r="Y471" s="45"/>
      <c r="AA471" s="45"/>
      <c r="AE471" s="45"/>
      <c r="AG471" s="45"/>
      <c r="AI471" s="45"/>
      <c r="AK471" s="45"/>
      <c r="AM471" s="45"/>
    </row>
    <row r="472" spans="1:39" ht="12.75" customHeight="1">
      <c r="A472" s="24"/>
      <c r="C472" s="42"/>
      <c r="D472" s="73"/>
      <c r="E472" s="45"/>
      <c r="F472" s="44"/>
      <c r="G472" s="45"/>
      <c r="I472" s="45"/>
      <c r="K472" s="45"/>
      <c r="M472" s="45"/>
      <c r="O472" s="45"/>
      <c r="Q472" s="45"/>
      <c r="W472" s="45"/>
      <c r="Y472" s="45"/>
      <c r="AA472" s="45"/>
      <c r="AE472" s="45"/>
      <c r="AG472" s="45"/>
      <c r="AI472" s="45"/>
      <c r="AK472" s="45"/>
      <c r="AM472" s="45"/>
    </row>
    <row r="473" spans="1:39" ht="12.75" customHeight="1">
      <c r="A473" s="24"/>
      <c r="C473" s="42"/>
      <c r="D473" s="73"/>
      <c r="E473" s="45"/>
      <c r="F473" s="44"/>
      <c r="G473" s="45"/>
      <c r="I473" s="45"/>
      <c r="K473" s="45"/>
      <c r="M473" s="45"/>
      <c r="O473" s="45"/>
      <c r="Q473" s="45"/>
      <c r="W473" s="45"/>
      <c r="Y473" s="45"/>
      <c r="AA473" s="45"/>
      <c r="AE473" s="45"/>
      <c r="AG473" s="45"/>
      <c r="AI473" s="45"/>
      <c r="AK473" s="45"/>
      <c r="AM473" s="45"/>
    </row>
    <row r="474" spans="1:39" ht="12.75" customHeight="1">
      <c r="A474" s="24"/>
      <c r="C474" s="42"/>
      <c r="D474" s="73"/>
      <c r="E474" s="45"/>
      <c r="F474" s="44"/>
      <c r="G474" s="45"/>
      <c r="I474" s="45"/>
      <c r="K474" s="45"/>
      <c r="M474" s="45"/>
      <c r="O474" s="45"/>
      <c r="Q474" s="45"/>
      <c r="W474" s="45"/>
      <c r="Y474" s="45"/>
      <c r="AA474" s="45"/>
      <c r="AE474" s="45"/>
      <c r="AG474" s="45"/>
      <c r="AI474" s="45"/>
      <c r="AK474" s="45"/>
      <c r="AM474" s="45"/>
    </row>
    <row r="475" spans="1:39" ht="12.75" customHeight="1">
      <c r="A475" s="24"/>
      <c r="C475" s="42"/>
      <c r="D475" s="73"/>
      <c r="E475" s="45"/>
      <c r="F475" s="44"/>
      <c r="G475" s="45"/>
      <c r="I475" s="45"/>
      <c r="K475" s="45"/>
      <c r="M475" s="45"/>
      <c r="O475" s="45"/>
      <c r="Q475" s="45"/>
      <c r="W475" s="45"/>
      <c r="Y475" s="45"/>
      <c r="AA475" s="45"/>
      <c r="AE475" s="45"/>
      <c r="AG475" s="45"/>
      <c r="AI475" s="45"/>
      <c r="AK475" s="45"/>
      <c r="AM475" s="45"/>
    </row>
    <row r="476" spans="1:39" ht="12.75" customHeight="1">
      <c r="A476" s="24"/>
      <c r="C476" s="42"/>
      <c r="D476" s="73"/>
      <c r="E476" s="45"/>
      <c r="F476" s="44"/>
      <c r="G476" s="45"/>
      <c r="I476" s="45"/>
      <c r="K476" s="45"/>
      <c r="M476" s="45"/>
      <c r="O476" s="45"/>
      <c r="Q476" s="45"/>
      <c r="W476" s="45"/>
      <c r="Y476" s="45"/>
      <c r="AA476" s="45"/>
      <c r="AE476" s="45"/>
      <c r="AG476" s="45"/>
      <c r="AI476" s="45"/>
      <c r="AK476" s="45"/>
      <c r="AM476" s="45"/>
    </row>
    <row r="477" spans="1:39" ht="12.75" customHeight="1">
      <c r="A477" s="24"/>
      <c r="C477" s="42"/>
      <c r="D477" s="73"/>
      <c r="E477" s="45"/>
      <c r="F477" s="44"/>
      <c r="G477" s="45"/>
      <c r="I477" s="45"/>
      <c r="K477" s="45"/>
      <c r="M477" s="45"/>
      <c r="O477" s="45"/>
      <c r="Q477" s="45"/>
      <c r="W477" s="45"/>
      <c r="Y477" s="45"/>
      <c r="AA477" s="45"/>
      <c r="AE477" s="45"/>
      <c r="AG477" s="45"/>
      <c r="AI477" s="45"/>
      <c r="AK477" s="45"/>
      <c r="AM477" s="45"/>
    </row>
    <row r="478" spans="1:39" ht="12.75" customHeight="1">
      <c r="A478" s="24"/>
      <c r="C478" s="42"/>
      <c r="D478" s="73"/>
      <c r="E478" s="45"/>
      <c r="F478" s="44"/>
      <c r="G478" s="45"/>
      <c r="I478" s="45"/>
      <c r="K478" s="45"/>
      <c r="M478" s="45"/>
      <c r="O478" s="45"/>
      <c r="Q478" s="45"/>
      <c r="W478" s="45"/>
      <c r="Y478" s="45"/>
      <c r="AA478" s="45"/>
      <c r="AE478" s="45"/>
      <c r="AG478" s="45"/>
      <c r="AI478" s="45"/>
      <c r="AK478" s="45"/>
      <c r="AM478" s="45"/>
    </row>
    <row r="479" spans="1:39" ht="12.75" customHeight="1">
      <c r="A479" s="24"/>
      <c r="C479" s="42"/>
      <c r="D479" s="73"/>
      <c r="E479" s="45"/>
      <c r="F479" s="44"/>
      <c r="G479" s="45"/>
      <c r="I479" s="45"/>
      <c r="K479" s="45"/>
      <c r="M479" s="45"/>
      <c r="O479" s="45"/>
      <c r="Q479" s="45"/>
      <c r="W479" s="45"/>
      <c r="Y479" s="45"/>
      <c r="AA479" s="45"/>
      <c r="AE479" s="45"/>
      <c r="AG479" s="45"/>
      <c r="AI479" s="45"/>
      <c r="AK479" s="45"/>
      <c r="AM479" s="45"/>
    </row>
    <row r="480" spans="1:39" ht="12.75" customHeight="1">
      <c r="A480" s="24"/>
      <c r="C480" s="42"/>
      <c r="D480" s="73"/>
      <c r="E480" s="45"/>
      <c r="F480" s="44"/>
      <c r="G480" s="45"/>
      <c r="I480" s="45"/>
      <c r="K480" s="45"/>
      <c r="M480" s="45"/>
      <c r="O480" s="45"/>
      <c r="Q480" s="45"/>
      <c r="W480" s="45"/>
      <c r="Y480" s="45"/>
      <c r="AA480" s="45"/>
      <c r="AE480" s="45"/>
      <c r="AG480" s="45"/>
      <c r="AI480" s="45"/>
      <c r="AK480" s="45"/>
      <c r="AM480" s="45"/>
    </row>
    <row r="481" spans="1:39" ht="12.75" customHeight="1">
      <c r="A481" s="24"/>
      <c r="C481" s="42"/>
      <c r="D481" s="73"/>
      <c r="E481" s="45"/>
      <c r="F481" s="44"/>
      <c r="G481" s="45"/>
      <c r="I481" s="45"/>
      <c r="K481" s="45"/>
      <c r="M481" s="45"/>
      <c r="O481" s="45"/>
      <c r="Q481" s="45"/>
      <c r="W481" s="45"/>
      <c r="Y481" s="45"/>
      <c r="AA481" s="45"/>
      <c r="AE481" s="45"/>
      <c r="AG481" s="45"/>
      <c r="AI481" s="45"/>
      <c r="AK481" s="45"/>
      <c r="AM481" s="45"/>
    </row>
    <row r="482" spans="1:39" ht="12.75" customHeight="1">
      <c r="A482" s="24"/>
      <c r="C482" s="42"/>
      <c r="D482" s="73"/>
      <c r="E482" s="45"/>
      <c r="F482" s="44"/>
      <c r="G482" s="45"/>
      <c r="I482" s="45"/>
      <c r="K482" s="45"/>
      <c r="M482" s="45"/>
      <c r="O482" s="45"/>
      <c r="Q482" s="45"/>
      <c r="W482" s="45"/>
      <c r="Y482" s="45"/>
      <c r="AA482" s="45"/>
      <c r="AE482" s="45"/>
      <c r="AG482" s="45"/>
      <c r="AI482" s="45"/>
      <c r="AK482" s="45"/>
      <c r="AM482" s="45"/>
    </row>
    <row r="483" spans="1:39" ht="12.75" customHeight="1">
      <c r="A483" s="24"/>
      <c r="C483" s="42"/>
      <c r="D483" s="73"/>
      <c r="E483" s="45"/>
      <c r="F483" s="44"/>
      <c r="G483" s="45"/>
      <c r="I483" s="45"/>
      <c r="K483" s="45"/>
      <c r="M483" s="45"/>
      <c r="O483" s="45"/>
      <c r="Q483" s="45"/>
      <c r="W483" s="45"/>
      <c r="Y483" s="45"/>
      <c r="AA483" s="45"/>
      <c r="AE483" s="45"/>
      <c r="AG483" s="45"/>
      <c r="AI483" s="45"/>
      <c r="AK483" s="45"/>
      <c r="AM483" s="45"/>
    </row>
    <row r="484" spans="1:39" ht="12.75" customHeight="1">
      <c r="A484" s="24"/>
      <c r="C484" s="42"/>
      <c r="D484" s="73"/>
      <c r="E484" s="45"/>
      <c r="F484" s="44"/>
      <c r="G484" s="45"/>
      <c r="I484" s="45"/>
      <c r="K484" s="45"/>
      <c r="M484" s="45"/>
      <c r="O484" s="45"/>
      <c r="Q484" s="45"/>
      <c r="W484" s="45"/>
      <c r="Y484" s="45"/>
      <c r="AA484" s="45"/>
      <c r="AE484" s="45"/>
      <c r="AG484" s="45"/>
      <c r="AI484" s="45"/>
      <c r="AK484" s="45"/>
      <c r="AM484" s="45"/>
    </row>
    <row r="485" spans="1:39" ht="12.75" customHeight="1">
      <c r="A485" s="24"/>
      <c r="C485" s="42"/>
      <c r="D485" s="73"/>
      <c r="E485" s="45"/>
      <c r="F485" s="44"/>
      <c r="G485" s="45"/>
      <c r="I485" s="45"/>
      <c r="K485" s="45"/>
      <c r="M485" s="45"/>
      <c r="O485" s="45"/>
      <c r="Q485" s="45"/>
      <c r="W485" s="45"/>
      <c r="Y485" s="45"/>
      <c r="AA485" s="45"/>
      <c r="AE485" s="45"/>
      <c r="AG485" s="45"/>
      <c r="AI485" s="45"/>
      <c r="AK485" s="45"/>
      <c r="AM485" s="45"/>
    </row>
    <row r="486" spans="1:39" ht="12.75" customHeight="1">
      <c r="A486" s="24"/>
      <c r="C486" s="42"/>
      <c r="D486" s="73"/>
      <c r="E486" s="45"/>
      <c r="F486" s="44"/>
      <c r="G486" s="45"/>
      <c r="I486" s="45"/>
      <c r="K486" s="45"/>
      <c r="M486" s="45"/>
      <c r="O486" s="45"/>
      <c r="Q486" s="45"/>
      <c r="W486" s="45"/>
      <c r="Y486" s="45"/>
      <c r="AA486" s="45"/>
      <c r="AE486" s="45"/>
      <c r="AG486" s="45"/>
      <c r="AI486" s="45"/>
      <c r="AK486" s="45"/>
      <c r="AM486" s="45"/>
    </row>
    <row r="487" spans="1:39" ht="12.75" customHeight="1">
      <c r="A487" s="24"/>
      <c r="C487" s="42"/>
      <c r="D487" s="73"/>
      <c r="E487" s="45"/>
      <c r="F487" s="44"/>
      <c r="G487" s="45"/>
      <c r="I487" s="45"/>
      <c r="K487" s="45"/>
      <c r="M487" s="45"/>
      <c r="O487" s="45"/>
      <c r="Q487" s="45"/>
      <c r="W487" s="45"/>
      <c r="Y487" s="45"/>
      <c r="AA487" s="45"/>
      <c r="AE487" s="45"/>
      <c r="AG487" s="45"/>
      <c r="AI487" s="45"/>
      <c r="AK487" s="45"/>
      <c r="AM487" s="45"/>
    </row>
    <row r="488" spans="1:39" ht="12.75" customHeight="1">
      <c r="A488" s="24"/>
      <c r="C488" s="42"/>
      <c r="D488" s="73"/>
      <c r="E488" s="45"/>
      <c r="F488" s="44"/>
      <c r="G488" s="45"/>
      <c r="I488" s="45"/>
      <c r="K488" s="45"/>
      <c r="M488" s="45"/>
      <c r="O488" s="45"/>
      <c r="Q488" s="45"/>
      <c r="W488" s="45"/>
      <c r="Y488" s="45"/>
      <c r="AA488" s="45"/>
      <c r="AE488" s="45"/>
      <c r="AG488" s="45"/>
      <c r="AI488" s="45"/>
      <c r="AK488" s="45"/>
      <c r="AM488" s="45"/>
    </row>
    <row r="489" spans="1:39" ht="12.75" customHeight="1">
      <c r="A489" s="24"/>
      <c r="C489" s="42"/>
      <c r="D489" s="73"/>
      <c r="E489" s="45"/>
      <c r="F489" s="44"/>
      <c r="G489" s="45"/>
      <c r="I489" s="45"/>
      <c r="K489" s="45"/>
      <c r="M489" s="45"/>
      <c r="O489" s="45"/>
      <c r="Q489" s="45"/>
      <c r="W489" s="45"/>
      <c r="Y489" s="45"/>
      <c r="AA489" s="45"/>
      <c r="AE489" s="45"/>
      <c r="AG489" s="45"/>
      <c r="AI489" s="45"/>
      <c r="AK489" s="45"/>
      <c r="AM489" s="45"/>
    </row>
    <row r="490" spans="1:39" ht="12.75" customHeight="1">
      <c r="A490" s="24"/>
      <c r="C490" s="42"/>
      <c r="D490" s="73"/>
      <c r="E490" s="45"/>
      <c r="F490" s="44"/>
      <c r="G490" s="45"/>
      <c r="I490" s="45"/>
      <c r="K490" s="45"/>
      <c r="M490" s="45"/>
      <c r="O490" s="45"/>
      <c r="Q490" s="45"/>
      <c r="W490" s="45"/>
      <c r="Y490" s="45"/>
      <c r="AA490" s="45"/>
      <c r="AE490" s="45"/>
      <c r="AG490" s="45"/>
      <c r="AI490" s="45"/>
      <c r="AK490" s="45"/>
      <c r="AM490" s="45"/>
    </row>
    <row r="491" spans="1:39" ht="12.75" customHeight="1">
      <c r="A491" s="24"/>
      <c r="C491" s="42"/>
      <c r="D491" s="73"/>
      <c r="E491" s="45"/>
      <c r="F491" s="44"/>
      <c r="G491" s="45"/>
      <c r="I491" s="45"/>
      <c r="K491" s="45"/>
      <c r="M491" s="45"/>
      <c r="O491" s="45"/>
      <c r="Q491" s="45"/>
      <c r="W491" s="45"/>
      <c r="Y491" s="45"/>
      <c r="AA491" s="45"/>
      <c r="AE491" s="45"/>
      <c r="AG491" s="45"/>
      <c r="AI491" s="45"/>
      <c r="AK491" s="45"/>
      <c r="AM491" s="45"/>
    </row>
    <row r="492" spans="1:39" ht="12.75" customHeight="1">
      <c r="A492" s="24"/>
      <c r="C492" s="42"/>
      <c r="D492" s="73"/>
      <c r="E492" s="45"/>
      <c r="F492" s="44"/>
      <c r="G492" s="45"/>
      <c r="I492" s="45"/>
      <c r="K492" s="45"/>
      <c r="M492" s="45"/>
      <c r="O492" s="45"/>
      <c r="Q492" s="45"/>
      <c r="W492" s="45"/>
      <c r="Y492" s="45"/>
      <c r="AA492" s="45"/>
      <c r="AE492" s="45"/>
      <c r="AG492" s="45"/>
      <c r="AI492" s="45"/>
      <c r="AK492" s="45"/>
      <c r="AM492" s="45"/>
    </row>
    <row r="493" spans="1:39" ht="12.75" customHeight="1">
      <c r="A493" s="24"/>
      <c r="C493" s="42"/>
      <c r="D493" s="73"/>
      <c r="E493" s="45"/>
      <c r="F493" s="44"/>
      <c r="G493" s="45"/>
      <c r="I493" s="45"/>
      <c r="K493" s="45"/>
      <c r="M493" s="45"/>
      <c r="O493" s="45"/>
      <c r="Q493" s="45"/>
      <c r="W493" s="45"/>
      <c r="Y493" s="45"/>
      <c r="AA493" s="45"/>
      <c r="AE493" s="45"/>
      <c r="AG493" s="45"/>
      <c r="AI493" s="45"/>
      <c r="AK493" s="45"/>
      <c r="AM493" s="45"/>
    </row>
    <row r="494" spans="1:39" ht="12.75" customHeight="1">
      <c r="A494" s="24"/>
      <c r="C494" s="42"/>
      <c r="D494" s="73"/>
      <c r="E494" s="45"/>
      <c r="F494" s="44"/>
      <c r="G494" s="45"/>
      <c r="I494" s="45"/>
      <c r="K494" s="45"/>
      <c r="M494" s="45"/>
      <c r="O494" s="45"/>
      <c r="Q494" s="45"/>
      <c r="W494" s="45"/>
      <c r="Y494" s="45"/>
      <c r="AA494" s="45"/>
      <c r="AE494" s="45"/>
      <c r="AG494" s="45"/>
      <c r="AI494" s="45"/>
      <c r="AK494" s="45"/>
      <c r="AM494" s="45"/>
    </row>
    <row r="495" spans="1:39" ht="12.75" customHeight="1">
      <c r="A495" s="24"/>
      <c r="C495" s="42"/>
      <c r="D495" s="73"/>
      <c r="E495" s="45"/>
      <c r="F495" s="44"/>
      <c r="G495" s="45"/>
      <c r="I495" s="45"/>
      <c r="K495" s="45"/>
      <c r="M495" s="45"/>
      <c r="O495" s="45"/>
      <c r="Q495" s="45"/>
      <c r="W495" s="45"/>
      <c r="Y495" s="45"/>
      <c r="AA495" s="45"/>
      <c r="AE495" s="45"/>
      <c r="AG495" s="45"/>
      <c r="AI495" s="45"/>
      <c r="AK495" s="45"/>
      <c r="AM495" s="45"/>
    </row>
    <row r="496" spans="1:39" ht="12.75" customHeight="1">
      <c r="A496" s="24"/>
      <c r="C496" s="42"/>
      <c r="D496" s="73"/>
      <c r="E496" s="45"/>
      <c r="F496" s="44"/>
      <c r="G496" s="45"/>
      <c r="I496" s="45"/>
      <c r="K496" s="45"/>
      <c r="M496" s="45"/>
      <c r="O496" s="45"/>
      <c r="Q496" s="45"/>
      <c r="W496" s="45"/>
      <c r="Y496" s="45"/>
      <c r="AA496" s="45"/>
      <c r="AE496" s="45"/>
      <c r="AG496" s="45"/>
      <c r="AI496" s="45"/>
      <c r="AK496" s="45"/>
      <c r="AM496" s="45"/>
    </row>
    <row r="497" spans="1:39" ht="12.75" customHeight="1">
      <c r="A497" s="24"/>
      <c r="C497" s="42"/>
      <c r="D497" s="73"/>
      <c r="E497" s="45"/>
      <c r="F497" s="44"/>
      <c r="G497" s="45"/>
      <c r="I497" s="45"/>
      <c r="K497" s="45"/>
      <c r="M497" s="45"/>
      <c r="O497" s="45"/>
      <c r="Q497" s="45"/>
      <c r="W497" s="45"/>
      <c r="Y497" s="45"/>
      <c r="AA497" s="45"/>
      <c r="AE497" s="45"/>
      <c r="AG497" s="45"/>
      <c r="AI497" s="45"/>
      <c r="AK497" s="45"/>
      <c r="AM497" s="45"/>
    </row>
    <row r="498" spans="1:39" ht="12.75" customHeight="1">
      <c r="A498" s="24"/>
      <c r="C498" s="42"/>
      <c r="D498" s="73"/>
      <c r="E498" s="45"/>
      <c r="F498" s="44"/>
      <c r="G498" s="45"/>
      <c r="I498" s="45"/>
      <c r="K498" s="45"/>
      <c r="M498" s="45"/>
      <c r="O498" s="45"/>
      <c r="Q498" s="45"/>
      <c r="W498" s="45"/>
      <c r="Y498" s="45"/>
      <c r="AA498" s="45"/>
      <c r="AE498" s="45"/>
      <c r="AG498" s="45"/>
      <c r="AI498" s="45"/>
      <c r="AK498" s="45"/>
      <c r="AM498" s="45"/>
    </row>
    <row r="499" spans="1:39" ht="12.75" customHeight="1">
      <c r="A499" s="24"/>
      <c r="C499" s="42"/>
      <c r="D499" s="73"/>
      <c r="E499" s="45"/>
      <c r="F499" s="44"/>
      <c r="G499" s="45"/>
      <c r="I499" s="45"/>
      <c r="K499" s="45"/>
      <c r="M499" s="45"/>
      <c r="O499" s="45"/>
      <c r="Q499" s="45"/>
      <c r="W499" s="45"/>
      <c r="Y499" s="45"/>
      <c r="AA499" s="45"/>
      <c r="AE499" s="45"/>
      <c r="AG499" s="45"/>
      <c r="AI499" s="45"/>
      <c r="AK499" s="45"/>
      <c r="AM499" s="45"/>
    </row>
    <row r="500" spans="1:39" ht="12.75" customHeight="1">
      <c r="A500" s="24"/>
      <c r="C500" s="42"/>
      <c r="D500" s="73"/>
      <c r="E500" s="45"/>
      <c r="F500" s="44"/>
      <c r="G500" s="45"/>
      <c r="I500" s="45"/>
      <c r="K500" s="45"/>
      <c r="M500" s="45"/>
      <c r="O500" s="45"/>
      <c r="Q500" s="45"/>
      <c r="W500" s="45"/>
      <c r="Y500" s="45"/>
      <c r="AA500" s="45"/>
      <c r="AE500" s="45"/>
      <c r="AG500" s="45"/>
      <c r="AI500" s="45"/>
      <c r="AK500" s="45"/>
      <c r="AM500" s="45"/>
    </row>
    <row r="501" spans="1:39" ht="12.75" customHeight="1">
      <c r="A501" s="24"/>
      <c r="C501" s="42"/>
      <c r="D501" s="73"/>
      <c r="E501" s="45"/>
      <c r="F501" s="44"/>
      <c r="G501" s="45"/>
      <c r="I501" s="45"/>
      <c r="K501" s="45"/>
      <c r="M501" s="45"/>
      <c r="O501" s="45"/>
      <c r="Q501" s="45"/>
      <c r="W501" s="45"/>
      <c r="Y501" s="45"/>
      <c r="AA501" s="45"/>
      <c r="AE501" s="45"/>
      <c r="AG501" s="45"/>
      <c r="AI501" s="45"/>
      <c r="AK501" s="45"/>
      <c r="AM501" s="45"/>
    </row>
    <row r="502" spans="1:39" ht="12.75" customHeight="1">
      <c r="A502" s="24"/>
      <c r="C502" s="42"/>
      <c r="D502" s="73"/>
      <c r="E502" s="45"/>
      <c r="F502" s="44"/>
      <c r="G502" s="45"/>
      <c r="I502" s="45"/>
      <c r="K502" s="45"/>
      <c r="M502" s="45"/>
      <c r="O502" s="45"/>
      <c r="Q502" s="45"/>
      <c r="W502" s="45"/>
      <c r="Y502" s="45"/>
      <c r="AA502" s="45"/>
      <c r="AE502" s="45"/>
      <c r="AG502" s="45"/>
      <c r="AI502" s="45"/>
      <c r="AK502" s="45"/>
      <c r="AM502" s="45"/>
    </row>
    <row r="503" spans="1:39" ht="12.75" customHeight="1">
      <c r="A503" s="24"/>
      <c r="C503" s="42"/>
      <c r="D503" s="73"/>
      <c r="E503" s="45"/>
      <c r="F503" s="44"/>
      <c r="G503" s="45"/>
      <c r="I503" s="45"/>
      <c r="K503" s="45"/>
      <c r="M503" s="45"/>
      <c r="O503" s="45"/>
      <c r="Q503" s="45"/>
      <c r="W503" s="45"/>
      <c r="Y503" s="45"/>
      <c r="AA503" s="45"/>
      <c r="AE503" s="45"/>
      <c r="AG503" s="45"/>
      <c r="AI503" s="45"/>
      <c r="AK503" s="45"/>
      <c r="AM503" s="45"/>
    </row>
    <row r="504" spans="1:39" ht="12.75" customHeight="1">
      <c r="A504" s="24"/>
      <c r="C504" s="42"/>
      <c r="D504" s="73"/>
      <c r="E504" s="45"/>
      <c r="F504" s="44"/>
      <c r="G504" s="45"/>
      <c r="I504" s="45"/>
      <c r="K504" s="45"/>
      <c r="M504" s="45"/>
      <c r="O504" s="45"/>
      <c r="Q504" s="45"/>
      <c r="W504" s="45"/>
      <c r="Y504" s="45"/>
      <c r="AA504" s="45"/>
      <c r="AE504" s="45"/>
      <c r="AG504" s="45"/>
      <c r="AI504" s="45"/>
      <c r="AK504" s="45"/>
      <c r="AM504" s="45"/>
    </row>
    <row r="505" spans="1:39" ht="12.75" customHeight="1">
      <c r="A505" s="24"/>
      <c r="C505" s="42"/>
      <c r="D505" s="73"/>
      <c r="E505" s="45"/>
      <c r="F505" s="44"/>
      <c r="G505" s="45"/>
      <c r="I505" s="45"/>
      <c r="K505" s="45"/>
      <c r="M505" s="45"/>
      <c r="O505" s="45"/>
      <c r="Q505" s="45"/>
      <c r="W505" s="45"/>
      <c r="Y505" s="45"/>
      <c r="AA505" s="45"/>
      <c r="AE505" s="45"/>
      <c r="AG505" s="45"/>
      <c r="AI505" s="45"/>
      <c r="AK505" s="45"/>
      <c r="AM505" s="45"/>
    </row>
    <row r="506" spans="1:39" ht="12.75" customHeight="1">
      <c r="A506" s="24"/>
      <c r="C506" s="42"/>
      <c r="D506" s="73"/>
      <c r="E506" s="45"/>
      <c r="F506" s="44"/>
      <c r="G506" s="45"/>
      <c r="I506" s="45"/>
      <c r="K506" s="45"/>
      <c r="M506" s="45"/>
      <c r="O506" s="45"/>
      <c r="Q506" s="45"/>
      <c r="W506" s="45"/>
      <c r="Y506" s="45"/>
      <c r="AA506" s="45"/>
      <c r="AE506" s="45"/>
      <c r="AG506" s="45"/>
      <c r="AI506" s="45"/>
      <c r="AK506" s="45"/>
      <c r="AM506" s="45"/>
    </row>
    <row r="507" spans="1:39" ht="12.75" customHeight="1">
      <c r="A507" s="24"/>
      <c r="C507" s="42"/>
      <c r="D507" s="73"/>
      <c r="E507" s="45"/>
      <c r="F507" s="44"/>
      <c r="G507" s="45"/>
      <c r="I507" s="45"/>
      <c r="K507" s="45"/>
      <c r="M507" s="45"/>
      <c r="O507" s="45"/>
      <c r="Q507" s="45"/>
      <c r="W507" s="45"/>
      <c r="Y507" s="45"/>
      <c r="AA507" s="45"/>
      <c r="AE507" s="45"/>
      <c r="AG507" s="45"/>
      <c r="AI507" s="45"/>
      <c r="AK507" s="45"/>
      <c r="AM507" s="45"/>
    </row>
    <row r="508" spans="1:39" ht="12.75" customHeight="1">
      <c r="A508" s="24"/>
      <c r="C508" s="42"/>
      <c r="D508" s="73"/>
      <c r="E508" s="45"/>
      <c r="F508" s="44"/>
      <c r="G508" s="45"/>
      <c r="I508" s="45"/>
      <c r="K508" s="45"/>
      <c r="M508" s="45"/>
      <c r="O508" s="45"/>
      <c r="Q508" s="45"/>
      <c r="W508" s="45"/>
      <c r="Y508" s="45"/>
      <c r="AA508" s="45"/>
      <c r="AE508" s="45"/>
      <c r="AG508" s="45"/>
      <c r="AI508" s="45"/>
      <c r="AK508" s="45"/>
      <c r="AM508" s="45"/>
    </row>
    <row r="509" spans="1:39" ht="12.75" customHeight="1">
      <c r="A509" s="24"/>
      <c r="C509" s="42"/>
      <c r="D509" s="73"/>
      <c r="E509" s="45"/>
      <c r="F509" s="44"/>
      <c r="G509" s="45"/>
      <c r="I509" s="45"/>
      <c r="K509" s="45"/>
      <c r="M509" s="45"/>
      <c r="O509" s="45"/>
      <c r="Q509" s="45"/>
      <c r="W509" s="45"/>
      <c r="Y509" s="45"/>
      <c r="AA509" s="45"/>
      <c r="AE509" s="45"/>
      <c r="AG509" s="45"/>
      <c r="AI509" s="45"/>
      <c r="AK509" s="45"/>
      <c r="AM509" s="45"/>
    </row>
    <row r="510" spans="1:39" ht="12.75" customHeight="1">
      <c r="A510" s="24"/>
      <c r="C510" s="42"/>
      <c r="D510" s="73"/>
      <c r="E510" s="45"/>
      <c r="F510" s="44"/>
      <c r="G510" s="45"/>
      <c r="I510" s="45"/>
      <c r="K510" s="45"/>
      <c r="M510" s="45"/>
      <c r="O510" s="45"/>
      <c r="Q510" s="45"/>
      <c r="W510" s="45"/>
      <c r="Y510" s="45"/>
      <c r="AA510" s="45"/>
      <c r="AE510" s="45"/>
      <c r="AG510" s="45"/>
      <c r="AI510" s="45"/>
      <c r="AK510" s="45"/>
      <c r="AM510" s="45"/>
    </row>
    <row r="511" spans="1:39" ht="12.75" customHeight="1">
      <c r="A511" s="24"/>
      <c r="C511" s="42"/>
      <c r="D511" s="73"/>
      <c r="E511" s="45"/>
      <c r="F511" s="44"/>
      <c r="G511" s="45"/>
      <c r="I511" s="45"/>
      <c r="K511" s="45"/>
      <c r="M511" s="45"/>
      <c r="O511" s="45"/>
      <c r="Q511" s="45"/>
      <c r="W511" s="45"/>
      <c r="Y511" s="45"/>
      <c r="AA511" s="45"/>
      <c r="AE511" s="45"/>
      <c r="AG511" s="45"/>
      <c r="AI511" s="45"/>
      <c r="AK511" s="45"/>
      <c r="AM511" s="45"/>
    </row>
    <row r="512" spans="1:39" ht="12.75" customHeight="1">
      <c r="A512" s="24"/>
      <c r="C512" s="42"/>
      <c r="D512" s="73"/>
      <c r="E512" s="45"/>
      <c r="F512" s="44"/>
      <c r="G512" s="45"/>
      <c r="I512" s="45"/>
      <c r="K512" s="45"/>
      <c r="M512" s="45"/>
      <c r="O512" s="45"/>
      <c r="Q512" s="45"/>
      <c r="W512" s="45"/>
      <c r="Y512" s="45"/>
      <c r="AA512" s="45"/>
      <c r="AE512" s="45"/>
      <c r="AG512" s="45"/>
      <c r="AI512" s="45"/>
      <c r="AK512" s="45"/>
      <c r="AM512" s="45"/>
    </row>
    <row r="513" spans="1:39" ht="12.75" customHeight="1">
      <c r="A513" s="24"/>
      <c r="C513" s="42"/>
      <c r="D513" s="73"/>
      <c r="E513" s="45"/>
      <c r="F513" s="44"/>
      <c r="G513" s="45"/>
      <c r="I513" s="45"/>
      <c r="K513" s="45"/>
      <c r="M513" s="45"/>
      <c r="O513" s="45"/>
      <c r="Q513" s="45"/>
      <c r="W513" s="45"/>
      <c r="Y513" s="45"/>
      <c r="AA513" s="45"/>
      <c r="AE513" s="45"/>
      <c r="AG513" s="45"/>
      <c r="AI513" s="45"/>
      <c r="AK513" s="45"/>
      <c r="AM513" s="45"/>
    </row>
    <row r="514" spans="1:39" ht="12.75" customHeight="1">
      <c r="A514" s="24"/>
      <c r="C514" s="42"/>
      <c r="D514" s="73"/>
      <c r="E514" s="45"/>
      <c r="F514" s="44"/>
      <c r="G514" s="45"/>
      <c r="I514" s="45"/>
      <c r="K514" s="45"/>
      <c r="M514" s="45"/>
      <c r="O514" s="45"/>
      <c r="Q514" s="45"/>
      <c r="W514" s="45"/>
      <c r="Y514" s="45"/>
      <c r="AA514" s="45"/>
      <c r="AE514" s="45"/>
      <c r="AG514" s="45"/>
      <c r="AI514" s="45"/>
      <c r="AK514" s="45"/>
      <c r="AM514" s="45"/>
    </row>
    <row r="515" spans="1:39" ht="12.75" customHeight="1">
      <c r="A515" s="24"/>
      <c r="C515" s="42"/>
      <c r="D515" s="73"/>
      <c r="E515" s="45"/>
      <c r="F515" s="44"/>
      <c r="G515" s="45"/>
      <c r="I515" s="45"/>
      <c r="K515" s="45"/>
      <c r="M515" s="45"/>
      <c r="O515" s="45"/>
      <c r="Q515" s="45"/>
      <c r="W515" s="45"/>
      <c r="Y515" s="45"/>
      <c r="AA515" s="45"/>
      <c r="AE515" s="45"/>
      <c r="AG515" s="45"/>
      <c r="AI515" s="45"/>
      <c r="AK515" s="45"/>
      <c r="AM515" s="45"/>
    </row>
    <row r="516" spans="1:39" ht="12.75" customHeight="1">
      <c r="A516" s="24"/>
      <c r="C516" s="42"/>
      <c r="D516" s="73"/>
      <c r="E516" s="45"/>
      <c r="F516" s="44"/>
      <c r="G516" s="45"/>
      <c r="I516" s="45"/>
      <c r="K516" s="45"/>
      <c r="M516" s="45"/>
      <c r="O516" s="45"/>
      <c r="Q516" s="45"/>
      <c r="W516" s="45"/>
      <c r="Y516" s="45"/>
      <c r="AA516" s="45"/>
      <c r="AE516" s="45"/>
      <c r="AG516" s="45"/>
      <c r="AI516" s="45"/>
      <c r="AK516" s="45"/>
      <c r="AM516" s="45"/>
    </row>
    <row r="517" spans="1:39" ht="12.75" customHeight="1">
      <c r="A517" s="24"/>
      <c r="C517" s="42"/>
      <c r="D517" s="73"/>
      <c r="E517" s="45"/>
      <c r="F517" s="44"/>
      <c r="G517" s="45"/>
      <c r="I517" s="45"/>
      <c r="K517" s="45"/>
      <c r="M517" s="45"/>
      <c r="O517" s="45"/>
      <c r="Q517" s="45"/>
      <c r="W517" s="45"/>
      <c r="Y517" s="45"/>
      <c r="AA517" s="45"/>
      <c r="AE517" s="45"/>
      <c r="AG517" s="45"/>
      <c r="AI517" s="45"/>
      <c r="AK517" s="45"/>
      <c r="AM517" s="45"/>
    </row>
    <row r="518" spans="1:39" ht="12.75" customHeight="1">
      <c r="A518" s="24"/>
      <c r="C518" s="42"/>
      <c r="D518" s="73"/>
      <c r="E518" s="45"/>
      <c r="F518" s="44"/>
      <c r="G518" s="45"/>
      <c r="I518" s="45"/>
      <c r="K518" s="45"/>
      <c r="M518" s="45"/>
      <c r="O518" s="45"/>
      <c r="Q518" s="45"/>
      <c r="W518" s="45"/>
      <c r="Y518" s="45"/>
      <c r="AA518" s="45"/>
      <c r="AE518" s="45"/>
      <c r="AG518" s="45"/>
      <c r="AI518" s="45"/>
      <c r="AK518" s="45"/>
      <c r="AM518" s="45"/>
    </row>
    <row r="519" spans="1:39" ht="12.75" customHeight="1">
      <c r="A519" s="24"/>
      <c r="C519" s="42"/>
      <c r="D519" s="73"/>
      <c r="E519" s="45"/>
      <c r="F519" s="44"/>
      <c r="G519" s="45"/>
      <c r="I519" s="45"/>
      <c r="K519" s="45"/>
      <c r="M519" s="45"/>
      <c r="O519" s="45"/>
      <c r="Q519" s="45"/>
      <c r="W519" s="45"/>
      <c r="Y519" s="45"/>
      <c r="AA519" s="45"/>
      <c r="AE519" s="45"/>
      <c r="AG519" s="45"/>
      <c r="AI519" s="45"/>
      <c r="AK519" s="45"/>
      <c r="AM519" s="45"/>
    </row>
    <row r="520" spans="1:39" ht="12.75" customHeight="1">
      <c r="A520" s="24"/>
      <c r="C520" s="42"/>
      <c r="D520" s="73"/>
      <c r="E520" s="45"/>
      <c r="F520" s="44"/>
      <c r="G520" s="45"/>
      <c r="I520" s="45"/>
      <c r="K520" s="45"/>
      <c r="M520" s="45"/>
      <c r="O520" s="45"/>
      <c r="Q520" s="45"/>
      <c r="W520" s="45"/>
      <c r="Y520" s="45"/>
      <c r="AA520" s="45"/>
      <c r="AE520" s="45"/>
      <c r="AG520" s="45"/>
      <c r="AI520" s="45"/>
      <c r="AK520" s="45"/>
      <c r="AM520" s="45"/>
    </row>
    <row r="521" spans="1:39" ht="12.75" customHeight="1">
      <c r="A521" s="24"/>
      <c r="C521" s="42"/>
      <c r="D521" s="73"/>
      <c r="E521" s="45"/>
      <c r="F521" s="44"/>
      <c r="G521" s="45"/>
      <c r="I521" s="45"/>
      <c r="K521" s="45"/>
      <c r="M521" s="45"/>
      <c r="O521" s="45"/>
      <c r="Q521" s="45"/>
      <c r="W521" s="45"/>
      <c r="Y521" s="45"/>
      <c r="AA521" s="45"/>
      <c r="AE521" s="45"/>
      <c r="AG521" s="45"/>
      <c r="AI521" s="45"/>
      <c r="AK521" s="45"/>
      <c r="AM521" s="45"/>
    </row>
    <row r="522" spans="1:39" ht="12.75" customHeight="1">
      <c r="A522" s="24"/>
      <c r="C522" s="42"/>
      <c r="D522" s="73"/>
      <c r="E522" s="45"/>
      <c r="F522" s="44"/>
      <c r="G522" s="45"/>
      <c r="I522" s="45"/>
      <c r="K522" s="45"/>
      <c r="M522" s="45"/>
      <c r="O522" s="45"/>
      <c r="Q522" s="45"/>
      <c r="W522" s="45"/>
      <c r="Y522" s="45"/>
      <c r="AA522" s="45"/>
      <c r="AE522" s="45"/>
      <c r="AG522" s="45"/>
      <c r="AI522" s="45"/>
      <c r="AK522" s="45"/>
      <c r="AM522" s="45"/>
    </row>
    <row r="523" spans="1:39" ht="12.75" customHeight="1">
      <c r="A523" s="24"/>
      <c r="C523" s="42"/>
      <c r="D523" s="73"/>
      <c r="E523" s="45"/>
      <c r="F523" s="44"/>
      <c r="G523" s="45"/>
      <c r="I523" s="45"/>
      <c r="K523" s="45"/>
      <c r="M523" s="45"/>
      <c r="O523" s="45"/>
      <c r="Q523" s="45"/>
      <c r="W523" s="45"/>
      <c r="Y523" s="45"/>
      <c r="AA523" s="45"/>
      <c r="AE523" s="45"/>
      <c r="AG523" s="45"/>
      <c r="AI523" s="45"/>
      <c r="AK523" s="45"/>
      <c r="AM523" s="45"/>
    </row>
    <row r="524" spans="1:39" ht="12.75" customHeight="1">
      <c r="A524" s="24"/>
      <c r="C524" s="42"/>
      <c r="D524" s="73"/>
      <c r="E524" s="45"/>
      <c r="F524" s="44"/>
      <c r="G524" s="45"/>
      <c r="I524" s="45"/>
      <c r="K524" s="45"/>
      <c r="M524" s="45"/>
      <c r="O524" s="45"/>
      <c r="Q524" s="45"/>
      <c r="W524" s="45"/>
      <c r="Y524" s="45"/>
      <c r="AA524" s="45"/>
      <c r="AE524" s="45"/>
      <c r="AG524" s="45"/>
      <c r="AI524" s="45"/>
      <c r="AK524" s="45"/>
      <c r="AM524" s="45"/>
    </row>
    <row r="525" spans="1:39" ht="12.75" customHeight="1">
      <c r="A525" s="24"/>
      <c r="C525" s="42"/>
      <c r="D525" s="73"/>
      <c r="E525" s="45"/>
      <c r="F525" s="44"/>
      <c r="G525" s="45"/>
      <c r="I525" s="45"/>
      <c r="K525" s="45"/>
      <c r="M525" s="45"/>
      <c r="O525" s="45"/>
      <c r="Q525" s="45"/>
      <c r="W525" s="45"/>
      <c r="Y525" s="45"/>
      <c r="AA525" s="45"/>
      <c r="AE525" s="45"/>
      <c r="AG525" s="45"/>
      <c r="AI525" s="45"/>
      <c r="AK525" s="45"/>
      <c r="AM525" s="45"/>
    </row>
    <row r="526" spans="1:39" ht="12.75" customHeight="1">
      <c r="A526" s="24"/>
      <c r="C526" s="42"/>
      <c r="D526" s="73"/>
      <c r="E526" s="45"/>
      <c r="F526" s="44"/>
      <c r="G526" s="45"/>
      <c r="I526" s="45"/>
      <c r="K526" s="45"/>
      <c r="M526" s="45"/>
      <c r="O526" s="45"/>
      <c r="Q526" s="45"/>
      <c r="W526" s="45"/>
      <c r="Y526" s="45"/>
      <c r="AA526" s="45"/>
      <c r="AE526" s="45"/>
      <c r="AG526" s="45"/>
      <c r="AI526" s="45"/>
      <c r="AK526" s="45"/>
      <c r="AM526" s="45"/>
    </row>
    <row r="527" spans="1:39" ht="12.75" customHeight="1">
      <c r="A527" s="24"/>
      <c r="C527" s="42"/>
      <c r="D527" s="73"/>
      <c r="E527" s="45"/>
      <c r="F527" s="44"/>
      <c r="G527" s="45"/>
      <c r="I527" s="45"/>
      <c r="K527" s="45"/>
      <c r="M527" s="45"/>
      <c r="O527" s="45"/>
      <c r="Q527" s="45"/>
      <c r="W527" s="45"/>
      <c r="Y527" s="45"/>
      <c r="AA527" s="45"/>
      <c r="AE527" s="45"/>
      <c r="AG527" s="45"/>
      <c r="AI527" s="45"/>
      <c r="AK527" s="45"/>
      <c r="AM527" s="45"/>
    </row>
    <row r="528" spans="1:39" ht="12.75" customHeight="1">
      <c r="A528" s="24"/>
      <c r="C528" s="42"/>
      <c r="D528" s="73"/>
      <c r="E528" s="45"/>
      <c r="F528" s="44"/>
      <c r="G528" s="45"/>
      <c r="I528" s="45"/>
      <c r="K528" s="45"/>
      <c r="M528" s="45"/>
      <c r="O528" s="45"/>
      <c r="Q528" s="45"/>
      <c r="W528" s="45"/>
      <c r="Y528" s="45"/>
      <c r="AA528" s="45"/>
      <c r="AE528" s="45"/>
      <c r="AG528" s="45"/>
      <c r="AI528" s="45"/>
      <c r="AK528" s="45"/>
      <c r="AM528" s="45"/>
    </row>
    <row r="529" spans="1:39" ht="12.75" customHeight="1">
      <c r="A529" s="24"/>
      <c r="C529" s="42"/>
      <c r="D529" s="73"/>
      <c r="E529" s="45"/>
      <c r="F529" s="44"/>
      <c r="G529" s="45"/>
      <c r="I529" s="45"/>
      <c r="K529" s="45"/>
      <c r="M529" s="45"/>
      <c r="O529" s="45"/>
      <c r="Q529" s="45"/>
      <c r="W529" s="45"/>
      <c r="Y529" s="45"/>
      <c r="AA529" s="45"/>
      <c r="AE529" s="45"/>
      <c r="AG529" s="45"/>
      <c r="AI529" s="45"/>
      <c r="AK529" s="45"/>
      <c r="AM529" s="45"/>
    </row>
    <row r="530" spans="1:39" ht="12.75" customHeight="1">
      <c r="A530" s="24"/>
      <c r="C530" s="42"/>
      <c r="D530" s="73"/>
      <c r="E530" s="45"/>
      <c r="F530" s="44"/>
      <c r="G530" s="45"/>
      <c r="I530" s="45"/>
      <c r="K530" s="45"/>
      <c r="M530" s="45"/>
      <c r="O530" s="45"/>
      <c r="Q530" s="45"/>
      <c r="W530" s="45"/>
      <c r="Y530" s="45"/>
      <c r="AA530" s="45"/>
      <c r="AE530" s="45"/>
      <c r="AG530" s="45"/>
      <c r="AI530" s="45"/>
      <c r="AK530" s="45"/>
      <c r="AM530" s="45"/>
    </row>
    <row r="531" spans="1:39" ht="12.75" customHeight="1">
      <c r="A531" s="24"/>
      <c r="C531" s="42"/>
      <c r="D531" s="73"/>
      <c r="E531" s="45"/>
      <c r="F531" s="44"/>
      <c r="G531" s="45"/>
      <c r="I531" s="45"/>
      <c r="K531" s="45"/>
      <c r="M531" s="45"/>
      <c r="O531" s="45"/>
      <c r="Q531" s="45"/>
      <c r="W531" s="45"/>
      <c r="Y531" s="45"/>
      <c r="AA531" s="45"/>
      <c r="AE531" s="45"/>
      <c r="AG531" s="45"/>
      <c r="AI531" s="45"/>
      <c r="AK531" s="45"/>
      <c r="AM531" s="45"/>
    </row>
    <row r="532" spans="1:39" ht="12.75" customHeight="1">
      <c r="A532" s="24"/>
      <c r="C532" s="42"/>
      <c r="D532" s="73"/>
      <c r="E532" s="45"/>
      <c r="F532" s="44"/>
      <c r="G532" s="45"/>
      <c r="I532" s="45"/>
      <c r="K532" s="45"/>
      <c r="M532" s="45"/>
      <c r="O532" s="45"/>
      <c r="Q532" s="45"/>
      <c r="W532" s="45"/>
      <c r="Y532" s="45"/>
      <c r="AA532" s="45"/>
      <c r="AE532" s="45"/>
      <c r="AG532" s="45"/>
      <c r="AI532" s="45"/>
      <c r="AK532" s="45"/>
      <c r="AM532" s="45"/>
    </row>
    <row r="533" spans="1:39" ht="12.75" customHeight="1">
      <c r="A533" s="24"/>
      <c r="C533" s="42"/>
      <c r="D533" s="73"/>
      <c r="E533" s="45"/>
      <c r="F533" s="44"/>
      <c r="G533" s="45"/>
      <c r="I533" s="45"/>
      <c r="K533" s="45"/>
      <c r="M533" s="45"/>
      <c r="O533" s="45"/>
      <c r="Q533" s="45"/>
      <c r="W533" s="45"/>
      <c r="Y533" s="45"/>
      <c r="AA533" s="45"/>
      <c r="AE533" s="45"/>
      <c r="AG533" s="45"/>
      <c r="AI533" s="45"/>
      <c r="AK533" s="45"/>
      <c r="AM533" s="45"/>
    </row>
    <row r="534" spans="1:39" ht="12.75" customHeight="1">
      <c r="A534" s="24"/>
      <c r="C534" s="42"/>
      <c r="D534" s="73"/>
      <c r="E534" s="45"/>
      <c r="F534" s="44"/>
      <c r="G534" s="45"/>
      <c r="I534" s="45"/>
      <c r="K534" s="45"/>
      <c r="M534" s="45"/>
      <c r="O534" s="45"/>
      <c r="Q534" s="45"/>
      <c r="W534" s="45"/>
      <c r="Y534" s="45"/>
      <c r="AA534" s="45"/>
      <c r="AE534" s="45"/>
      <c r="AG534" s="45"/>
      <c r="AI534" s="45"/>
      <c r="AK534" s="45"/>
      <c r="AM534" s="45"/>
    </row>
    <row r="535" spans="1:39" ht="12.75" customHeight="1">
      <c r="A535" s="24"/>
      <c r="C535" s="42"/>
      <c r="D535" s="73"/>
      <c r="E535" s="45"/>
      <c r="F535" s="44"/>
      <c r="G535" s="45"/>
      <c r="I535" s="45"/>
      <c r="K535" s="45"/>
      <c r="M535" s="45"/>
      <c r="O535" s="45"/>
      <c r="Q535" s="45"/>
      <c r="W535" s="45"/>
      <c r="Y535" s="45"/>
      <c r="AA535" s="45"/>
      <c r="AE535" s="45"/>
      <c r="AG535" s="45"/>
      <c r="AI535" s="45"/>
      <c r="AK535" s="45"/>
      <c r="AM535" s="45"/>
    </row>
    <row r="536" spans="1:39" ht="12.75" customHeight="1">
      <c r="A536" s="24"/>
      <c r="C536" s="42"/>
      <c r="D536" s="73"/>
      <c r="E536" s="45"/>
      <c r="F536" s="44"/>
      <c r="G536" s="45"/>
      <c r="I536" s="45"/>
      <c r="K536" s="45"/>
      <c r="M536" s="45"/>
      <c r="O536" s="45"/>
      <c r="Q536" s="45"/>
      <c r="W536" s="45"/>
      <c r="Y536" s="45"/>
      <c r="AA536" s="45"/>
      <c r="AE536" s="45"/>
      <c r="AG536" s="45"/>
      <c r="AI536" s="45"/>
      <c r="AK536" s="45"/>
      <c r="AM536" s="45"/>
    </row>
    <row r="537" spans="1:39" ht="12.75" customHeight="1">
      <c r="A537" s="24"/>
      <c r="C537" s="42"/>
      <c r="D537" s="73"/>
      <c r="E537" s="45"/>
      <c r="F537" s="44"/>
      <c r="G537" s="45"/>
      <c r="I537" s="45"/>
      <c r="K537" s="45"/>
      <c r="M537" s="45"/>
      <c r="O537" s="45"/>
      <c r="Q537" s="45"/>
      <c r="W537" s="45"/>
      <c r="Y537" s="45"/>
      <c r="AA537" s="45"/>
      <c r="AE537" s="45"/>
      <c r="AG537" s="45"/>
      <c r="AI537" s="45"/>
      <c r="AK537" s="45"/>
      <c r="AM537" s="45"/>
    </row>
    <row r="538" spans="1:39" ht="12.75" customHeight="1">
      <c r="A538" s="24"/>
      <c r="C538" s="42"/>
      <c r="D538" s="73"/>
      <c r="E538" s="45"/>
      <c r="F538" s="44"/>
      <c r="G538" s="45"/>
      <c r="I538" s="45"/>
      <c r="K538" s="45"/>
      <c r="M538" s="45"/>
      <c r="O538" s="45"/>
      <c r="Q538" s="45"/>
      <c r="W538" s="45"/>
      <c r="Y538" s="45"/>
      <c r="AA538" s="45"/>
      <c r="AE538" s="45"/>
      <c r="AG538" s="45"/>
      <c r="AI538" s="45"/>
      <c r="AK538" s="45"/>
      <c r="AM538" s="45"/>
    </row>
    <row r="539" spans="1:39" ht="12.75" customHeight="1">
      <c r="A539" s="24"/>
      <c r="C539" s="42"/>
      <c r="D539" s="73"/>
      <c r="E539" s="45"/>
      <c r="F539" s="44"/>
      <c r="G539" s="45"/>
      <c r="I539" s="45"/>
      <c r="K539" s="45"/>
      <c r="M539" s="45"/>
      <c r="O539" s="45"/>
      <c r="Q539" s="45"/>
      <c r="W539" s="45"/>
      <c r="Y539" s="45"/>
      <c r="AA539" s="45"/>
      <c r="AE539" s="45"/>
      <c r="AG539" s="45"/>
      <c r="AI539" s="45"/>
      <c r="AK539" s="45"/>
      <c r="AM539" s="45"/>
    </row>
    <row r="540" spans="1:39" ht="12.75" customHeight="1">
      <c r="A540" s="24"/>
      <c r="C540" s="42"/>
      <c r="D540" s="73"/>
      <c r="E540" s="45"/>
      <c r="F540" s="44"/>
      <c r="G540" s="45"/>
      <c r="I540" s="45"/>
      <c r="K540" s="45"/>
      <c r="M540" s="45"/>
      <c r="O540" s="45"/>
      <c r="Q540" s="45"/>
      <c r="W540" s="45"/>
      <c r="Y540" s="45"/>
      <c r="AA540" s="45"/>
      <c r="AE540" s="45"/>
      <c r="AG540" s="45"/>
      <c r="AI540" s="45"/>
      <c r="AK540" s="45"/>
      <c r="AM540" s="45"/>
    </row>
    <row r="541" spans="1:39" ht="12.75" customHeight="1">
      <c r="A541" s="24"/>
      <c r="C541" s="42"/>
      <c r="D541" s="73"/>
      <c r="E541" s="45"/>
      <c r="F541" s="44"/>
      <c r="G541" s="45"/>
      <c r="I541" s="45"/>
      <c r="K541" s="45"/>
      <c r="M541" s="45"/>
      <c r="O541" s="45"/>
      <c r="Q541" s="45"/>
      <c r="W541" s="45"/>
      <c r="Y541" s="45"/>
      <c r="AA541" s="45"/>
      <c r="AE541" s="45"/>
      <c r="AG541" s="45"/>
      <c r="AI541" s="45"/>
      <c r="AK541" s="45"/>
      <c r="AM541" s="45"/>
    </row>
    <row r="542" spans="1:39" ht="12.75" customHeight="1">
      <c r="A542" s="24"/>
      <c r="C542" s="42"/>
      <c r="D542" s="73"/>
      <c r="E542" s="45"/>
      <c r="F542" s="44"/>
      <c r="G542" s="45"/>
      <c r="I542" s="45"/>
      <c r="K542" s="45"/>
      <c r="M542" s="45"/>
      <c r="O542" s="45"/>
      <c r="Q542" s="45"/>
      <c r="W542" s="45"/>
      <c r="Y542" s="45"/>
      <c r="AA542" s="45"/>
      <c r="AE542" s="45"/>
      <c r="AG542" s="45"/>
      <c r="AI542" s="45"/>
      <c r="AK542" s="45"/>
      <c r="AM542" s="45"/>
    </row>
    <row r="543" spans="1:39" ht="12.75" customHeight="1">
      <c r="A543" s="24"/>
      <c r="C543" s="42"/>
      <c r="D543" s="73"/>
      <c r="E543" s="45"/>
      <c r="F543" s="44"/>
      <c r="G543" s="45"/>
      <c r="I543" s="45"/>
      <c r="K543" s="45"/>
      <c r="M543" s="45"/>
      <c r="O543" s="45"/>
      <c r="Q543" s="45"/>
      <c r="W543" s="45"/>
      <c r="Y543" s="45"/>
      <c r="AA543" s="45"/>
      <c r="AE543" s="45"/>
      <c r="AG543" s="45"/>
      <c r="AI543" s="45"/>
      <c r="AK543" s="45"/>
      <c r="AM543" s="45"/>
    </row>
    <row r="544" spans="1:39" ht="12.75" customHeight="1">
      <c r="A544" s="24"/>
      <c r="C544" s="42"/>
      <c r="D544" s="73"/>
      <c r="E544" s="45"/>
      <c r="F544" s="44"/>
      <c r="G544" s="45"/>
      <c r="I544" s="45"/>
      <c r="K544" s="45"/>
      <c r="M544" s="45"/>
      <c r="O544" s="45"/>
      <c r="Q544" s="45"/>
      <c r="W544" s="45"/>
      <c r="Y544" s="45"/>
      <c r="AA544" s="45"/>
      <c r="AE544" s="45"/>
      <c r="AG544" s="45"/>
      <c r="AI544" s="45"/>
      <c r="AK544" s="45"/>
      <c r="AM544" s="45"/>
    </row>
    <row r="545" spans="1:39" ht="12.75" customHeight="1">
      <c r="A545" s="24"/>
      <c r="C545" s="42"/>
      <c r="D545" s="73"/>
      <c r="E545" s="45"/>
      <c r="F545" s="44"/>
      <c r="G545" s="45"/>
      <c r="I545" s="45"/>
      <c r="K545" s="45"/>
      <c r="M545" s="45"/>
      <c r="O545" s="45"/>
      <c r="Q545" s="45"/>
      <c r="W545" s="45"/>
      <c r="Y545" s="45"/>
      <c r="AA545" s="45"/>
      <c r="AE545" s="45"/>
      <c r="AG545" s="45"/>
      <c r="AI545" s="45"/>
      <c r="AK545" s="45"/>
      <c r="AM545" s="45"/>
    </row>
    <row r="546" spans="1:39" ht="12.75" customHeight="1">
      <c r="A546" s="24"/>
      <c r="C546" s="42"/>
      <c r="D546" s="73"/>
      <c r="E546" s="45"/>
      <c r="F546" s="44"/>
      <c r="G546" s="45"/>
      <c r="I546" s="45"/>
      <c r="K546" s="45"/>
      <c r="M546" s="45"/>
      <c r="O546" s="45"/>
      <c r="Q546" s="45"/>
      <c r="W546" s="45"/>
      <c r="Y546" s="45"/>
      <c r="AA546" s="45"/>
      <c r="AE546" s="45"/>
      <c r="AG546" s="45"/>
      <c r="AI546" s="45"/>
      <c r="AK546" s="45"/>
      <c r="AM546" s="45"/>
    </row>
    <row r="547" spans="1:39" ht="12.75" customHeight="1">
      <c r="A547" s="24"/>
      <c r="C547" s="42"/>
      <c r="D547" s="73"/>
      <c r="E547" s="45"/>
      <c r="F547" s="44"/>
      <c r="G547" s="45"/>
      <c r="I547" s="45"/>
      <c r="K547" s="45"/>
      <c r="M547" s="45"/>
      <c r="O547" s="45"/>
      <c r="Q547" s="45"/>
      <c r="W547" s="45"/>
      <c r="Y547" s="45"/>
      <c r="AA547" s="45"/>
      <c r="AE547" s="45"/>
      <c r="AG547" s="45"/>
      <c r="AI547" s="45"/>
      <c r="AK547" s="45"/>
      <c r="AM547" s="45"/>
    </row>
    <row r="548" spans="1:39" ht="12.75" customHeight="1">
      <c r="A548" s="24"/>
      <c r="C548" s="42"/>
      <c r="D548" s="73"/>
      <c r="E548" s="45"/>
      <c r="F548" s="44"/>
      <c r="G548" s="45"/>
      <c r="I548" s="45"/>
      <c r="K548" s="45"/>
      <c r="M548" s="45"/>
      <c r="O548" s="45"/>
      <c r="Q548" s="45"/>
      <c r="W548" s="45"/>
      <c r="Y548" s="45"/>
      <c r="AA548" s="45"/>
      <c r="AE548" s="45"/>
      <c r="AG548" s="45"/>
      <c r="AI548" s="45"/>
      <c r="AK548" s="45"/>
      <c r="AM548" s="45"/>
    </row>
    <row r="549" spans="1:39" ht="12.75" customHeight="1">
      <c r="A549" s="24"/>
      <c r="C549" s="42"/>
      <c r="D549" s="73"/>
      <c r="E549" s="45"/>
      <c r="F549" s="44"/>
      <c r="G549" s="45"/>
      <c r="I549" s="45"/>
      <c r="K549" s="45"/>
      <c r="M549" s="45"/>
      <c r="O549" s="45"/>
      <c r="Q549" s="45"/>
      <c r="W549" s="45"/>
      <c r="Y549" s="45"/>
      <c r="AA549" s="45"/>
      <c r="AE549" s="45"/>
      <c r="AG549" s="45"/>
      <c r="AI549" s="45"/>
      <c r="AK549" s="45"/>
      <c r="AM549" s="45"/>
    </row>
    <row r="550" spans="1:39" ht="12.75" customHeight="1">
      <c r="A550" s="24"/>
      <c r="C550" s="42"/>
      <c r="D550" s="73"/>
      <c r="E550" s="45"/>
      <c r="F550" s="44"/>
      <c r="G550" s="45"/>
      <c r="I550" s="45"/>
      <c r="K550" s="45"/>
      <c r="M550" s="45"/>
      <c r="O550" s="45"/>
      <c r="Q550" s="45"/>
      <c r="W550" s="45"/>
      <c r="Y550" s="45"/>
      <c r="AA550" s="45"/>
      <c r="AE550" s="45"/>
      <c r="AG550" s="45"/>
      <c r="AI550" s="45"/>
      <c r="AK550" s="45"/>
      <c r="AM550" s="45"/>
    </row>
    <row r="551" spans="1:39" ht="12.75" customHeight="1">
      <c r="A551" s="24"/>
      <c r="C551" s="42"/>
      <c r="D551" s="73"/>
      <c r="E551" s="45"/>
      <c r="F551" s="44"/>
      <c r="G551" s="45"/>
      <c r="I551" s="45"/>
      <c r="K551" s="45"/>
      <c r="M551" s="45"/>
      <c r="O551" s="45"/>
      <c r="Q551" s="45"/>
      <c r="W551" s="45"/>
      <c r="Y551" s="45"/>
      <c r="AA551" s="45"/>
      <c r="AE551" s="45"/>
      <c r="AG551" s="45"/>
      <c r="AI551" s="45"/>
      <c r="AK551" s="45"/>
      <c r="AM551" s="45"/>
    </row>
    <row r="552" spans="1:39" ht="12.75" customHeight="1">
      <c r="A552" s="24"/>
      <c r="C552" s="42"/>
      <c r="D552" s="73"/>
      <c r="E552" s="45"/>
      <c r="F552" s="44"/>
      <c r="G552" s="45"/>
      <c r="I552" s="45"/>
      <c r="K552" s="45"/>
      <c r="M552" s="45"/>
      <c r="O552" s="45"/>
      <c r="Q552" s="45"/>
      <c r="W552" s="45"/>
      <c r="Y552" s="45"/>
      <c r="AA552" s="45"/>
      <c r="AE552" s="45"/>
      <c r="AG552" s="45"/>
      <c r="AI552" s="45"/>
      <c r="AK552" s="45"/>
      <c r="AM552" s="45"/>
    </row>
    <row r="553" spans="1:39" ht="12.75" customHeight="1">
      <c r="A553" s="24"/>
      <c r="C553" s="42"/>
      <c r="D553" s="73"/>
      <c r="E553" s="45"/>
      <c r="F553" s="44"/>
      <c r="G553" s="45"/>
      <c r="I553" s="45"/>
      <c r="K553" s="45"/>
      <c r="M553" s="45"/>
      <c r="O553" s="45"/>
      <c r="Q553" s="45"/>
      <c r="W553" s="45"/>
      <c r="Y553" s="45"/>
      <c r="AA553" s="45"/>
      <c r="AE553" s="45"/>
      <c r="AG553" s="45"/>
      <c r="AI553" s="45"/>
      <c r="AK553" s="45"/>
      <c r="AM553" s="45"/>
    </row>
    <row r="554" spans="1:39" ht="12.75" customHeight="1">
      <c r="A554" s="24"/>
      <c r="C554" s="42"/>
      <c r="D554" s="73"/>
      <c r="E554" s="45"/>
      <c r="F554" s="44"/>
      <c r="G554" s="45"/>
      <c r="I554" s="45"/>
      <c r="K554" s="45"/>
      <c r="M554" s="45"/>
      <c r="O554" s="45"/>
      <c r="Q554" s="45"/>
      <c r="W554" s="45"/>
      <c r="Y554" s="45"/>
      <c r="AA554" s="45"/>
      <c r="AE554" s="45"/>
      <c r="AG554" s="45"/>
      <c r="AI554" s="45"/>
      <c r="AK554" s="45"/>
      <c r="AM554" s="45"/>
    </row>
    <row r="555" spans="1:39" ht="12.75" customHeight="1">
      <c r="A555" s="24"/>
      <c r="C555" s="42"/>
      <c r="D555" s="73"/>
      <c r="E555" s="45"/>
      <c r="F555" s="44"/>
      <c r="G555" s="45"/>
      <c r="I555" s="45"/>
      <c r="K555" s="45"/>
      <c r="M555" s="45"/>
      <c r="O555" s="45"/>
      <c r="Q555" s="45"/>
      <c r="W555" s="45"/>
      <c r="Y555" s="45"/>
      <c r="AA555" s="45"/>
      <c r="AE555" s="45"/>
      <c r="AG555" s="45"/>
      <c r="AI555" s="45"/>
      <c r="AK555" s="45"/>
      <c r="AM555" s="45"/>
    </row>
    <row r="556" spans="1:39" ht="12.75" customHeight="1">
      <c r="A556" s="24"/>
      <c r="C556" s="42"/>
      <c r="D556" s="73"/>
      <c r="E556" s="45"/>
      <c r="F556" s="44"/>
      <c r="G556" s="45"/>
      <c r="I556" s="45"/>
      <c r="K556" s="45"/>
      <c r="M556" s="45"/>
      <c r="O556" s="45"/>
      <c r="Q556" s="45"/>
      <c r="W556" s="45"/>
      <c r="Y556" s="45"/>
      <c r="AA556" s="45"/>
      <c r="AE556" s="45"/>
      <c r="AG556" s="45"/>
      <c r="AI556" s="45"/>
      <c r="AK556" s="45"/>
      <c r="AM556" s="45"/>
    </row>
    <row r="557" spans="1:39" ht="12.75" customHeight="1">
      <c r="A557" s="24"/>
      <c r="C557" s="42"/>
      <c r="D557" s="73"/>
      <c r="E557" s="45"/>
      <c r="F557" s="44"/>
      <c r="G557" s="45"/>
      <c r="I557" s="45"/>
      <c r="K557" s="45"/>
      <c r="M557" s="45"/>
      <c r="O557" s="45"/>
      <c r="Q557" s="45"/>
      <c r="W557" s="45"/>
      <c r="Y557" s="45"/>
      <c r="AA557" s="45"/>
      <c r="AE557" s="45"/>
      <c r="AG557" s="45"/>
      <c r="AI557" s="45"/>
      <c r="AK557" s="45"/>
      <c r="AM557" s="45"/>
    </row>
    <row r="558" spans="1:39" ht="12.75" customHeight="1">
      <c r="A558" s="24"/>
      <c r="C558" s="42"/>
      <c r="D558" s="73"/>
      <c r="E558" s="45"/>
      <c r="F558" s="44"/>
      <c r="G558" s="45"/>
      <c r="I558" s="45"/>
      <c r="K558" s="45"/>
      <c r="M558" s="45"/>
      <c r="O558" s="45"/>
      <c r="Q558" s="45"/>
      <c r="W558" s="45"/>
      <c r="Y558" s="45"/>
      <c r="AA558" s="45"/>
      <c r="AE558" s="45"/>
      <c r="AG558" s="45"/>
      <c r="AI558" s="45"/>
      <c r="AK558" s="45"/>
      <c r="AM558" s="45"/>
    </row>
    <row r="559" spans="1:39" ht="12.75" customHeight="1">
      <c r="A559" s="24"/>
      <c r="C559" s="42"/>
      <c r="D559" s="73"/>
      <c r="E559" s="45"/>
      <c r="F559" s="44"/>
      <c r="G559" s="45"/>
      <c r="I559" s="45"/>
      <c r="K559" s="45"/>
      <c r="M559" s="45"/>
      <c r="O559" s="45"/>
      <c r="Q559" s="45"/>
      <c r="W559" s="45"/>
      <c r="Y559" s="45"/>
      <c r="AA559" s="45"/>
      <c r="AE559" s="45"/>
      <c r="AG559" s="45"/>
      <c r="AI559" s="45"/>
      <c r="AK559" s="45"/>
      <c r="AM559" s="45"/>
    </row>
    <row r="560" spans="1:39" ht="12.75" customHeight="1">
      <c r="A560" s="24"/>
      <c r="C560" s="42"/>
      <c r="D560" s="73"/>
      <c r="E560" s="45"/>
      <c r="F560" s="44"/>
      <c r="G560" s="45"/>
      <c r="I560" s="45"/>
      <c r="K560" s="45"/>
      <c r="M560" s="45"/>
      <c r="O560" s="45"/>
      <c r="Q560" s="45"/>
      <c r="W560" s="45"/>
      <c r="Y560" s="45"/>
      <c r="AA560" s="45"/>
      <c r="AE560" s="45"/>
      <c r="AG560" s="45"/>
      <c r="AI560" s="45"/>
      <c r="AK560" s="45"/>
      <c r="AM560" s="45"/>
    </row>
    <row r="561" spans="1:39" ht="12.75" customHeight="1">
      <c r="A561" s="24"/>
      <c r="C561" s="42"/>
      <c r="D561" s="73"/>
      <c r="E561" s="45"/>
      <c r="F561" s="44"/>
      <c r="G561" s="45"/>
      <c r="I561" s="45"/>
      <c r="K561" s="45"/>
      <c r="M561" s="45"/>
      <c r="O561" s="45"/>
      <c r="Q561" s="45"/>
      <c r="W561" s="45"/>
      <c r="Y561" s="45"/>
      <c r="AA561" s="45"/>
      <c r="AE561" s="45"/>
      <c r="AG561" s="45"/>
      <c r="AI561" s="45"/>
      <c r="AK561" s="45"/>
      <c r="AM561" s="45"/>
    </row>
    <row r="562" spans="1:39" ht="12.75" customHeight="1">
      <c r="A562" s="24"/>
      <c r="C562" s="42"/>
      <c r="D562" s="73"/>
      <c r="E562" s="45"/>
      <c r="F562" s="44"/>
      <c r="G562" s="45"/>
      <c r="I562" s="45"/>
      <c r="K562" s="45"/>
      <c r="M562" s="45"/>
      <c r="O562" s="45"/>
      <c r="Q562" s="45"/>
      <c r="W562" s="45"/>
      <c r="Y562" s="45"/>
      <c r="AA562" s="45"/>
      <c r="AE562" s="45"/>
      <c r="AG562" s="45"/>
      <c r="AI562" s="45"/>
      <c r="AK562" s="45"/>
      <c r="AM562" s="45"/>
    </row>
    <row r="563" spans="1:39" ht="12.75" customHeight="1">
      <c r="A563" s="24"/>
      <c r="C563" s="42"/>
      <c r="D563" s="73"/>
      <c r="E563" s="45"/>
      <c r="F563" s="44"/>
      <c r="G563" s="45"/>
      <c r="I563" s="45"/>
      <c r="K563" s="45"/>
      <c r="M563" s="45"/>
      <c r="O563" s="45"/>
      <c r="Q563" s="45"/>
      <c r="W563" s="45"/>
      <c r="Y563" s="45"/>
      <c r="AA563" s="45"/>
      <c r="AE563" s="45"/>
      <c r="AG563" s="45"/>
      <c r="AI563" s="45"/>
      <c r="AK563" s="45"/>
      <c r="AM563" s="45"/>
    </row>
    <row r="564" spans="1:39" ht="12.75" customHeight="1">
      <c r="A564" s="24"/>
      <c r="C564" s="42"/>
      <c r="D564" s="73"/>
      <c r="E564" s="45"/>
      <c r="F564" s="44"/>
      <c r="G564" s="45"/>
      <c r="I564" s="45"/>
      <c r="K564" s="45"/>
      <c r="M564" s="45"/>
      <c r="O564" s="45"/>
      <c r="Q564" s="45"/>
      <c r="W564" s="45"/>
      <c r="Y564" s="45"/>
      <c r="AA564" s="45"/>
      <c r="AE564" s="45"/>
      <c r="AG564" s="45"/>
      <c r="AI564" s="45"/>
      <c r="AK564" s="45"/>
      <c r="AM564" s="45"/>
    </row>
    <row r="565" spans="1:39" ht="12.75" customHeight="1">
      <c r="A565" s="24"/>
      <c r="C565" s="42"/>
      <c r="D565" s="73"/>
      <c r="E565" s="45"/>
      <c r="F565" s="44"/>
      <c r="G565" s="45"/>
      <c r="I565" s="45"/>
      <c r="K565" s="45"/>
      <c r="M565" s="45"/>
      <c r="O565" s="45"/>
      <c r="Q565" s="45"/>
      <c r="W565" s="45"/>
      <c r="Y565" s="45"/>
      <c r="AA565" s="45"/>
      <c r="AE565" s="45"/>
      <c r="AG565" s="45"/>
      <c r="AI565" s="45"/>
      <c r="AK565" s="45"/>
      <c r="AM565" s="45"/>
    </row>
    <row r="566" spans="1:39" ht="12.75" customHeight="1">
      <c r="A566" s="24"/>
      <c r="C566" s="42"/>
      <c r="D566" s="73"/>
      <c r="E566" s="45"/>
      <c r="F566" s="44"/>
      <c r="G566" s="45"/>
      <c r="I566" s="45"/>
      <c r="K566" s="45"/>
      <c r="M566" s="45"/>
      <c r="O566" s="45"/>
      <c r="Q566" s="45"/>
      <c r="W566" s="45"/>
      <c r="Y566" s="45"/>
      <c r="AA566" s="45"/>
      <c r="AE566" s="45"/>
      <c r="AG566" s="45"/>
      <c r="AI566" s="45"/>
      <c r="AK566" s="45"/>
      <c r="AM566" s="45"/>
    </row>
    <row r="567" spans="1:39" ht="12.75" customHeight="1">
      <c r="A567" s="24"/>
      <c r="C567" s="42"/>
      <c r="D567" s="73"/>
      <c r="E567" s="45"/>
      <c r="F567" s="44"/>
      <c r="G567" s="45"/>
      <c r="I567" s="45"/>
      <c r="K567" s="45"/>
      <c r="M567" s="45"/>
      <c r="O567" s="45"/>
      <c r="Q567" s="45"/>
      <c r="W567" s="45"/>
      <c r="Y567" s="45"/>
      <c r="AA567" s="45"/>
      <c r="AE567" s="45"/>
      <c r="AG567" s="45"/>
      <c r="AI567" s="45"/>
      <c r="AK567" s="45"/>
      <c r="AM567" s="45"/>
    </row>
    <row r="568" spans="1:39" ht="12.75" customHeight="1">
      <c r="A568" s="24"/>
      <c r="C568" s="42"/>
      <c r="D568" s="73"/>
      <c r="E568" s="45"/>
      <c r="F568" s="44"/>
      <c r="G568" s="45"/>
      <c r="I568" s="45"/>
      <c r="K568" s="45"/>
      <c r="M568" s="45"/>
      <c r="O568" s="45"/>
      <c r="Q568" s="45"/>
      <c r="W568" s="45"/>
      <c r="Y568" s="45"/>
      <c r="AA568" s="45"/>
      <c r="AE568" s="45"/>
      <c r="AG568" s="45"/>
      <c r="AI568" s="45"/>
      <c r="AK568" s="45"/>
      <c r="AM568" s="45"/>
    </row>
    <row r="569" spans="1:39" ht="12.75" customHeight="1">
      <c r="A569" s="24"/>
      <c r="C569" s="42"/>
      <c r="D569" s="73"/>
      <c r="E569" s="45"/>
      <c r="F569" s="44"/>
      <c r="G569" s="45"/>
      <c r="I569" s="45"/>
      <c r="K569" s="45"/>
      <c r="M569" s="45"/>
      <c r="O569" s="45"/>
      <c r="Q569" s="45"/>
      <c r="W569" s="45"/>
      <c r="Y569" s="45"/>
      <c r="AA569" s="45"/>
      <c r="AE569" s="45"/>
      <c r="AG569" s="45"/>
      <c r="AI569" s="45"/>
      <c r="AK569" s="45"/>
      <c r="AM569" s="45"/>
    </row>
    <row r="570" spans="1:39" ht="12.75" customHeight="1">
      <c r="A570" s="24"/>
      <c r="C570" s="42"/>
      <c r="D570" s="73"/>
      <c r="E570" s="45"/>
      <c r="F570" s="44"/>
      <c r="G570" s="45"/>
      <c r="I570" s="45"/>
      <c r="K570" s="45"/>
      <c r="M570" s="45"/>
      <c r="O570" s="45"/>
      <c r="Q570" s="45"/>
      <c r="W570" s="45"/>
      <c r="Y570" s="45"/>
      <c r="AA570" s="45"/>
      <c r="AE570" s="45"/>
      <c r="AG570" s="45"/>
      <c r="AI570" s="45"/>
      <c r="AK570" s="45"/>
      <c r="AM570" s="45"/>
    </row>
    <row r="571" spans="1:39" ht="12.75" customHeight="1">
      <c r="A571" s="24"/>
      <c r="C571" s="42"/>
      <c r="D571" s="73"/>
      <c r="E571" s="45"/>
      <c r="F571" s="44"/>
      <c r="G571" s="45"/>
      <c r="I571" s="45"/>
      <c r="K571" s="45"/>
      <c r="M571" s="45"/>
      <c r="O571" s="45"/>
      <c r="Q571" s="45"/>
      <c r="W571" s="45"/>
      <c r="Y571" s="45"/>
      <c r="AA571" s="45"/>
      <c r="AE571" s="45"/>
      <c r="AG571" s="45"/>
      <c r="AI571" s="45"/>
      <c r="AK571" s="45"/>
      <c r="AM571" s="45"/>
    </row>
    <row r="572" spans="1:39" ht="12.75" customHeight="1">
      <c r="A572" s="24"/>
      <c r="C572" s="42"/>
      <c r="D572" s="73"/>
      <c r="E572" s="45"/>
      <c r="F572" s="44"/>
      <c r="G572" s="45"/>
      <c r="I572" s="45"/>
      <c r="K572" s="45"/>
      <c r="M572" s="45"/>
      <c r="O572" s="45"/>
      <c r="Q572" s="45"/>
      <c r="W572" s="45"/>
      <c r="Y572" s="45"/>
      <c r="AA572" s="45"/>
      <c r="AE572" s="45"/>
      <c r="AG572" s="45"/>
      <c r="AI572" s="45"/>
      <c r="AK572" s="45"/>
      <c r="AM572" s="45"/>
    </row>
    <row r="573" spans="1:39" ht="12.75" customHeight="1">
      <c r="A573" s="24"/>
      <c r="C573" s="42"/>
      <c r="D573" s="73"/>
      <c r="E573" s="45"/>
      <c r="F573" s="44"/>
      <c r="G573" s="45"/>
      <c r="I573" s="45"/>
      <c r="K573" s="45"/>
      <c r="M573" s="45"/>
      <c r="O573" s="45"/>
      <c r="Q573" s="45"/>
      <c r="W573" s="45"/>
      <c r="Y573" s="45"/>
      <c r="AA573" s="45"/>
      <c r="AE573" s="45"/>
      <c r="AG573" s="45"/>
      <c r="AI573" s="45"/>
      <c r="AK573" s="45"/>
      <c r="AM573" s="45"/>
    </row>
    <row r="574" spans="1:39" ht="12.75" customHeight="1">
      <c r="A574" s="24"/>
      <c r="C574" s="42"/>
      <c r="D574" s="73"/>
      <c r="E574" s="45"/>
      <c r="F574" s="44"/>
      <c r="G574" s="45"/>
      <c r="I574" s="45"/>
      <c r="K574" s="45"/>
      <c r="M574" s="45"/>
      <c r="O574" s="45"/>
      <c r="Q574" s="45"/>
      <c r="W574" s="45"/>
      <c r="Y574" s="45"/>
      <c r="AA574" s="45"/>
      <c r="AE574" s="45"/>
      <c r="AG574" s="45"/>
      <c r="AI574" s="45"/>
      <c r="AK574" s="45"/>
      <c r="AM574" s="45"/>
    </row>
    <row r="575" spans="1:39" ht="12.75" customHeight="1">
      <c r="A575" s="24"/>
      <c r="C575" s="42"/>
      <c r="D575" s="73"/>
      <c r="E575" s="45"/>
      <c r="F575" s="44"/>
      <c r="G575" s="45"/>
      <c r="I575" s="45"/>
      <c r="K575" s="45"/>
      <c r="M575" s="45"/>
      <c r="O575" s="45"/>
      <c r="Q575" s="45"/>
      <c r="W575" s="45"/>
      <c r="Y575" s="45"/>
      <c r="AA575" s="45"/>
      <c r="AE575" s="45"/>
      <c r="AG575" s="45"/>
      <c r="AI575" s="45"/>
      <c r="AK575" s="45"/>
      <c r="AM575" s="45"/>
    </row>
    <row r="576" spans="1:39" ht="12.75" customHeight="1">
      <c r="A576" s="24"/>
      <c r="C576" s="42"/>
      <c r="D576" s="73"/>
      <c r="E576" s="45"/>
      <c r="F576" s="44"/>
      <c r="G576" s="45"/>
      <c r="I576" s="45"/>
      <c r="K576" s="45"/>
      <c r="M576" s="45"/>
      <c r="O576" s="45"/>
      <c r="Q576" s="45"/>
      <c r="W576" s="45"/>
      <c r="Y576" s="45"/>
      <c r="AA576" s="45"/>
      <c r="AE576" s="45"/>
      <c r="AG576" s="45"/>
      <c r="AI576" s="45"/>
      <c r="AK576" s="45"/>
      <c r="AM576" s="45"/>
    </row>
    <row r="577" spans="1:39" ht="12.75" customHeight="1">
      <c r="A577" s="24"/>
      <c r="C577" s="42"/>
      <c r="D577" s="73"/>
      <c r="E577" s="45"/>
      <c r="F577" s="44"/>
      <c r="G577" s="45"/>
      <c r="I577" s="45"/>
      <c r="K577" s="45"/>
      <c r="M577" s="45"/>
      <c r="O577" s="45"/>
      <c r="Q577" s="45"/>
      <c r="W577" s="45"/>
      <c r="Y577" s="45"/>
      <c r="AA577" s="45"/>
      <c r="AE577" s="45"/>
      <c r="AG577" s="45"/>
      <c r="AI577" s="45"/>
      <c r="AK577" s="45"/>
      <c r="AM577" s="45"/>
    </row>
    <row r="578" spans="1:39" ht="12.75" customHeight="1">
      <c r="A578" s="24"/>
      <c r="C578" s="42"/>
      <c r="D578" s="73"/>
      <c r="E578" s="45"/>
      <c r="F578" s="44"/>
      <c r="G578" s="45"/>
      <c r="I578" s="45"/>
      <c r="K578" s="45"/>
      <c r="M578" s="45"/>
      <c r="O578" s="45"/>
      <c r="Q578" s="45"/>
      <c r="W578" s="45"/>
      <c r="Y578" s="45"/>
      <c r="AA578" s="45"/>
      <c r="AE578" s="45"/>
      <c r="AG578" s="45"/>
      <c r="AI578" s="45"/>
      <c r="AK578" s="45"/>
      <c r="AM578" s="45"/>
    </row>
    <row r="579" spans="1:39" ht="12.75" customHeight="1">
      <c r="A579" s="24"/>
      <c r="C579" s="42"/>
      <c r="D579" s="73"/>
      <c r="E579" s="45"/>
      <c r="F579" s="44"/>
      <c r="G579" s="45"/>
      <c r="I579" s="45"/>
      <c r="K579" s="45"/>
      <c r="M579" s="45"/>
      <c r="O579" s="45"/>
      <c r="Q579" s="45"/>
      <c r="W579" s="45"/>
      <c r="Y579" s="45"/>
      <c r="AA579" s="45"/>
      <c r="AE579" s="45"/>
      <c r="AG579" s="45"/>
      <c r="AI579" s="45"/>
      <c r="AK579" s="45"/>
      <c r="AM579" s="45"/>
    </row>
    <row r="580" spans="1:39" ht="12.75" customHeight="1">
      <c r="A580" s="24"/>
      <c r="C580" s="42"/>
      <c r="D580" s="73"/>
      <c r="E580" s="45"/>
      <c r="F580" s="44"/>
      <c r="G580" s="45"/>
      <c r="I580" s="45"/>
      <c r="K580" s="45"/>
      <c r="M580" s="45"/>
      <c r="O580" s="45"/>
      <c r="Q580" s="45"/>
      <c r="W580" s="45"/>
      <c r="Y580" s="45"/>
      <c r="AA580" s="45"/>
      <c r="AE580" s="45"/>
      <c r="AG580" s="45"/>
      <c r="AI580" s="45"/>
      <c r="AK580" s="45"/>
      <c r="AM580" s="45"/>
    </row>
    <row r="581" spans="1:39" ht="12.75" customHeight="1">
      <c r="A581" s="24"/>
      <c r="C581" s="42"/>
      <c r="D581" s="73"/>
      <c r="E581" s="45"/>
      <c r="F581" s="44"/>
      <c r="G581" s="45"/>
      <c r="I581" s="45"/>
      <c r="K581" s="45"/>
      <c r="M581" s="45"/>
      <c r="O581" s="45"/>
      <c r="Q581" s="45"/>
      <c r="W581" s="45"/>
      <c r="Y581" s="45"/>
      <c r="AA581" s="45"/>
      <c r="AE581" s="45"/>
      <c r="AG581" s="45"/>
      <c r="AI581" s="45"/>
      <c r="AK581" s="45"/>
      <c r="AM581" s="45"/>
    </row>
    <row r="582" spans="1:39" ht="12.75" customHeight="1">
      <c r="A582" s="24"/>
      <c r="C582" s="42"/>
      <c r="D582" s="73"/>
      <c r="E582" s="45"/>
      <c r="F582" s="44"/>
      <c r="G582" s="45"/>
      <c r="I582" s="45"/>
      <c r="K582" s="45"/>
      <c r="M582" s="45"/>
      <c r="O582" s="45"/>
      <c r="Q582" s="45"/>
      <c r="W582" s="45"/>
      <c r="Y582" s="45"/>
      <c r="AA582" s="45"/>
      <c r="AE582" s="45"/>
      <c r="AG582" s="45"/>
      <c r="AI582" s="45"/>
      <c r="AK582" s="45"/>
      <c r="AM582" s="45"/>
    </row>
    <row r="583" spans="1:39" ht="12.75" customHeight="1">
      <c r="A583" s="24"/>
      <c r="C583" s="42"/>
      <c r="D583" s="73"/>
      <c r="E583" s="45"/>
      <c r="F583" s="44"/>
      <c r="G583" s="45"/>
      <c r="I583" s="45"/>
      <c r="K583" s="45"/>
      <c r="M583" s="45"/>
      <c r="O583" s="45"/>
      <c r="Q583" s="45"/>
      <c r="W583" s="45"/>
      <c r="Y583" s="45"/>
      <c r="AA583" s="45"/>
      <c r="AE583" s="45"/>
      <c r="AG583" s="45"/>
      <c r="AI583" s="45"/>
      <c r="AK583" s="45"/>
      <c r="AM583" s="45"/>
    </row>
    <row r="584" spans="1:39" ht="12.75" customHeight="1">
      <c r="A584" s="24"/>
      <c r="C584" s="42"/>
      <c r="D584" s="73"/>
      <c r="E584" s="45"/>
      <c r="F584" s="44"/>
      <c r="G584" s="45"/>
      <c r="I584" s="45"/>
      <c r="K584" s="45"/>
      <c r="M584" s="45"/>
      <c r="O584" s="45"/>
      <c r="Q584" s="45"/>
      <c r="W584" s="45"/>
      <c r="Y584" s="45"/>
      <c r="AA584" s="45"/>
      <c r="AE584" s="45"/>
      <c r="AG584" s="45"/>
      <c r="AI584" s="45"/>
      <c r="AK584" s="45"/>
      <c r="AM584" s="45"/>
    </row>
    <row r="585" spans="1:39" ht="12.75" customHeight="1">
      <c r="A585" s="24"/>
      <c r="C585" s="42"/>
      <c r="D585" s="73"/>
      <c r="E585" s="45"/>
      <c r="F585" s="44"/>
      <c r="G585" s="45"/>
      <c r="I585" s="45"/>
      <c r="K585" s="45"/>
      <c r="M585" s="45"/>
      <c r="O585" s="45"/>
      <c r="Q585" s="45"/>
      <c r="W585" s="45"/>
      <c r="Y585" s="45"/>
      <c r="AA585" s="45"/>
      <c r="AE585" s="45"/>
      <c r="AG585" s="45"/>
      <c r="AI585" s="45"/>
      <c r="AK585" s="45"/>
      <c r="AM585" s="45"/>
    </row>
    <row r="586" spans="1:39" ht="12.75" customHeight="1">
      <c r="A586" s="24"/>
      <c r="C586" s="42"/>
      <c r="D586" s="73"/>
      <c r="E586" s="45"/>
      <c r="F586" s="44"/>
      <c r="G586" s="45"/>
      <c r="I586" s="45"/>
      <c r="K586" s="45"/>
      <c r="M586" s="45"/>
      <c r="O586" s="45"/>
      <c r="Q586" s="45"/>
      <c r="W586" s="45"/>
      <c r="Y586" s="45"/>
      <c r="AA586" s="45"/>
      <c r="AE586" s="45"/>
      <c r="AG586" s="45"/>
      <c r="AI586" s="45"/>
      <c r="AK586" s="45"/>
      <c r="AM586" s="45"/>
    </row>
    <row r="587" spans="1:39" ht="12.75" customHeight="1">
      <c r="A587" s="24"/>
      <c r="C587" s="42"/>
      <c r="D587" s="73"/>
      <c r="E587" s="45"/>
      <c r="F587" s="44"/>
      <c r="G587" s="45"/>
      <c r="I587" s="45"/>
      <c r="K587" s="45"/>
      <c r="M587" s="45"/>
      <c r="O587" s="45"/>
      <c r="Q587" s="45"/>
      <c r="W587" s="45"/>
      <c r="Y587" s="45"/>
      <c r="AA587" s="45"/>
      <c r="AE587" s="45"/>
      <c r="AG587" s="45"/>
      <c r="AI587" s="45"/>
      <c r="AK587" s="45"/>
      <c r="AM587" s="45"/>
    </row>
    <row r="588" spans="1:39" ht="12.75" customHeight="1">
      <c r="A588" s="24"/>
      <c r="C588" s="42"/>
      <c r="D588" s="73"/>
      <c r="E588" s="45"/>
      <c r="F588" s="44"/>
      <c r="G588" s="45"/>
      <c r="I588" s="45"/>
      <c r="K588" s="45"/>
      <c r="M588" s="45"/>
      <c r="O588" s="45"/>
      <c r="Q588" s="45"/>
      <c r="W588" s="45"/>
      <c r="Y588" s="45"/>
      <c r="AA588" s="45"/>
      <c r="AE588" s="45"/>
      <c r="AG588" s="45"/>
      <c r="AI588" s="45"/>
      <c r="AK588" s="45"/>
      <c r="AM588" s="45"/>
    </row>
    <row r="589" spans="1:39" ht="12.75" customHeight="1">
      <c r="A589" s="24"/>
      <c r="C589" s="42"/>
      <c r="D589" s="73"/>
      <c r="E589" s="45"/>
      <c r="F589" s="44"/>
      <c r="G589" s="45"/>
      <c r="I589" s="45"/>
      <c r="K589" s="45"/>
      <c r="M589" s="45"/>
      <c r="O589" s="45"/>
      <c r="Q589" s="45"/>
      <c r="W589" s="45"/>
      <c r="Y589" s="45"/>
      <c r="AA589" s="45"/>
      <c r="AE589" s="45"/>
      <c r="AG589" s="45"/>
      <c r="AI589" s="45"/>
      <c r="AK589" s="45"/>
      <c r="AM589" s="45"/>
    </row>
    <row r="590" spans="1:39" ht="12.75" customHeight="1">
      <c r="A590" s="24"/>
      <c r="C590" s="42"/>
      <c r="D590" s="73"/>
      <c r="E590" s="45"/>
      <c r="F590" s="44"/>
      <c r="G590" s="45"/>
      <c r="I590" s="45"/>
      <c r="K590" s="45"/>
      <c r="M590" s="45"/>
      <c r="O590" s="45"/>
      <c r="Q590" s="45"/>
      <c r="W590" s="45"/>
      <c r="Y590" s="45"/>
      <c r="AA590" s="45"/>
      <c r="AE590" s="45"/>
      <c r="AG590" s="45"/>
      <c r="AI590" s="45"/>
      <c r="AK590" s="45"/>
      <c r="AM590" s="45"/>
    </row>
    <row r="591" spans="1:39" ht="12.75" customHeight="1">
      <c r="A591" s="24"/>
      <c r="C591" s="42"/>
      <c r="D591" s="73"/>
      <c r="E591" s="45"/>
      <c r="F591" s="44"/>
      <c r="G591" s="45"/>
      <c r="I591" s="45"/>
      <c r="K591" s="45"/>
      <c r="M591" s="45"/>
      <c r="O591" s="45"/>
      <c r="Q591" s="45"/>
      <c r="W591" s="45"/>
      <c r="Y591" s="45"/>
      <c r="AA591" s="45"/>
      <c r="AE591" s="45"/>
      <c r="AG591" s="45"/>
      <c r="AI591" s="45"/>
      <c r="AK591" s="45"/>
      <c r="AM591" s="45"/>
    </row>
    <row r="592" spans="1:39" ht="12.75" customHeight="1">
      <c r="A592" s="24"/>
      <c r="C592" s="42"/>
      <c r="D592" s="73"/>
      <c r="E592" s="45"/>
      <c r="F592" s="44"/>
      <c r="G592" s="45"/>
      <c r="I592" s="45"/>
      <c r="K592" s="45"/>
      <c r="M592" s="45"/>
      <c r="O592" s="45"/>
      <c r="Q592" s="45"/>
      <c r="W592" s="45"/>
      <c r="Y592" s="45"/>
      <c r="AA592" s="45"/>
      <c r="AE592" s="45"/>
      <c r="AG592" s="45"/>
      <c r="AI592" s="45"/>
      <c r="AK592" s="45"/>
      <c r="AM592" s="45"/>
    </row>
    <row r="593" spans="1:39" ht="12.75" customHeight="1">
      <c r="A593" s="24"/>
      <c r="C593" s="42"/>
      <c r="D593" s="73"/>
      <c r="E593" s="45"/>
      <c r="F593" s="44"/>
      <c r="G593" s="45"/>
      <c r="I593" s="45"/>
      <c r="K593" s="45"/>
      <c r="M593" s="45"/>
      <c r="O593" s="45"/>
      <c r="Q593" s="45"/>
      <c r="W593" s="45"/>
      <c r="Y593" s="45"/>
      <c r="AA593" s="45"/>
      <c r="AE593" s="45"/>
      <c r="AG593" s="45"/>
      <c r="AI593" s="45"/>
      <c r="AK593" s="45"/>
      <c r="AM593" s="45"/>
    </row>
    <row r="594" spans="1:39" ht="12.75" customHeight="1">
      <c r="A594" s="24"/>
      <c r="C594" s="42"/>
      <c r="D594" s="73"/>
      <c r="E594" s="45"/>
      <c r="F594" s="44"/>
      <c r="G594" s="45"/>
      <c r="I594" s="45"/>
      <c r="K594" s="45"/>
      <c r="M594" s="45"/>
      <c r="O594" s="45"/>
      <c r="Q594" s="45"/>
      <c r="W594" s="45"/>
      <c r="Y594" s="45"/>
      <c r="AA594" s="45"/>
      <c r="AE594" s="45"/>
      <c r="AG594" s="45"/>
      <c r="AI594" s="45"/>
      <c r="AK594" s="45"/>
      <c r="AM594" s="45"/>
    </row>
    <row r="595" spans="1:39" ht="12.75" customHeight="1">
      <c r="A595" s="24"/>
      <c r="C595" s="42"/>
      <c r="D595" s="73"/>
      <c r="E595" s="45"/>
      <c r="F595" s="44"/>
      <c r="G595" s="45"/>
      <c r="I595" s="45"/>
      <c r="K595" s="45"/>
      <c r="M595" s="45"/>
      <c r="O595" s="45"/>
      <c r="Q595" s="45"/>
      <c r="W595" s="45"/>
      <c r="Y595" s="45"/>
      <c r="AA595" s="45"/>
      <c r="AE595" s="45"/>
      <c r="AG595" s="45"/>
      <c r="AI595" s="45"/>
      <c r="AK595" s="45"/>
      <c r="AM595" s="45"/>
    </row>
    <row r="596" spans="1:39" ht="12.75" customHeight="1">
      <c r="A596" s="24"/>
      <c r="C596" s="42"/>
      <c r="D596" s="73"/>
      <c r="E596" s="45"/>
      <c r="F596" s="44"/>
      <c r="G596" s="45"/>
      <c r="I596" s="45"/>
      <c r="K596" s="45"/>
      <c r="M596" s="45"/>
      <c r="O596" s="45"/>
      <c r="Q596" s="45"/>
      <c r="W596" s="45"/>
      <c r="Y596" s="45"/>
      <c r="AA596" s="45"/>
      <c r="AE596" s="45"/>
      <c r="AG596" s="45"/>
      <c r="AI596" s="45"/>
      <c r="AK596" s="45"/>
      <c r="AM596" s="45"/>
    </row>
    <row r="597" spans="1:39" ht="12.75" customHeight="1">
      <c r="A597" s="24"/>
      <c r="C597" s="42"/>
      <c r="D597" s="73"/>
      <c r="E597" s="45"/>
      <c r="F597" s="44"/>
      <c r="G597" s="45"/>
      <c r="I597" s="45"/>
      <c r="K597" s="45"/>
      <c r="M597" s="45"/>
      <c r="O597" s="45"/>
      <c r="Q597" s="45"/>
      <c r="W597" s="45"/>
      <c r="Y597" s="45"/>
      <c r="AA597" s="45"/>
      <c r="AE597" s="45"/>
      <c r="AG597" s="45"/>
      <c r="AI597" s="45"/>
      <c r="AK597" s="45"/>
      <c r="AM597" s="45"/>
    </row>
    <row r="598" spans="1:39" ht="12.75" customHeight="1">
      <c r="A598" s="24"/>
      <c r="C598" s="42"/>
      <c r="D598" s="73"/>
      <c r="E598" s="45"/>
      <c r="F598" s="44"/>
      <c r="G598" s="45"/>
      <c r="I598" s="45"/>
      <c r="K598" s="45"/>
      <c r="M598" s="45"/>
      <c r="O598" s="45"/>
      <c r="Q598" s="45"/>
      <c r="W598" s="45"/>
      <c r="Y598" s="45"/>
      <c r="AA598" s="45"/>
      <c r="AE598" s="45"/>
      <c r="AG598" s="45"/>
      <c r="AI598" s="45"/>
      <c r="AK598" s="45"/>
      <c r="AM598" s="45"/>
    </row>
    <row r="599" spans="1:39" ht="12.75" customHeight="1">
      <c r="A599" s="24"/>
      <c r="C599" s="42"/>
      <c r="D599" s="73"/>
      <c r="E599" s="45"/>
      <c r="F599" s="44"/>
      <c r="G599" s="45"/>
      <c r="I599" s="45"/>
      <c r="K599" s="45"/>
      <c r="M599" s="45"/>
      <c r="O599" s="45"/>
      <c r="Q599" s="45"/>
      <c r="W599" s="45"/>
      <c r="Y599" s="45"/>
      <c r="AA599" s="45"/>
      <c r="AE599" s="45"/>
      <c r="AG599" s="45"/>
      <c r="AI599" s="45"/>
      <c r="AK599" s="45"/>
      <c r="AM599" s="45"/>
    </row>
    <row r="600" spans="1:39" ht="12.75" customHeight="1">
      <c r="A600" s="24"/>
      <c r="C600" s="42"/>
      <c r="D600" s="73"/>
      <c r="E600" s="45"/>
      <c r="F600" s="44"/>
      <c r="G600" s="45"/>
      <c r="I600" s="45"/>
      <c r="K600" s="45"/>
      <c r="M600" s="45"/>
      <c r="O600" s="45"/>
      <c r="Q600" s="45"/>
      <c r="W600" s="45"/>
      <c r="Y600" s="45"/>
      <c r="AA600" s="45"/>
      <c r="AE600" s="45"/>
      <c r="AG600" s="45"/>
      <c r="AI600" s="45"/>
      <c r="AK600" s="45"/>
      <c r="AM600" s="45"/>
    </row>
    <row r="601" spans="1:39" ht="12.75" customHeight="1">
      <c r="A601" s="24"/>
      <c r="C601" s="42"/>
      <c r="D601" s="73"/>
      <c r="E601" s="45"/>
      <c r="F601" s="44"/>
      <c r="G601" s="45"/>
      <c r="I601" s="45"/>
      <c r="K601" s="45"/>
      <c r="M601" s="45"/>
      <c r="O601" s="45"/>
      <c r="Q601" s="45"/>
      <c r="W601" s="45"/>
      <c r="Y601" s="45"/>
      <c r="AA601" s="45"/>
      <c r="AE601" s="45"/>
      <c r="AG601" s="45"/>
      <c r="AI601" s="45"/>
      <c r="AK601" s="45"/>
      <c r="AM601" s="45"/>
    </row>
    <row r="602" spans="1:39" ht="12.75" customHeight="1">
      <c r="A602" s="24"/>
      <c r="C602" s="42"/>
      <c r="D602" s="73"/>
      <c r="E602" s="45"/>
      <c r="F602" s="44"/>
      <c r="G602" s="45"/>
      <c r="I602" s="45"/>
      <c r="K602" s="45"/>
      <c r="M602" s="45"/>
      <c r="O602" s="45"/>
      <c r="Q602" s="45"/>
      <c r="W602" s="45"/>
      <c r="Y602" s="45"/>
      <c r="AA602" s="45"/>
      <c r="AE602" s="45"/>
      <c r="AG602" s="45"/>
      <c r="AI602" s="45"/>
      <c r="AK602" s="45"/>
      <c r="AM602" s="45"/>
    </row>
    <row r="603" spans="1:39" ht="12.75" customHeight="1">
      <c r="A603" s="24"/>
      <c r="C603" s="42"/>
      <c r="D603" s="73"/>
      <c r="E603" s="45"/>
      <c r="F603" s="44"/>
      <c r="G603" s="45"/>
      <c r="I603" s="45"/>
      <c r="K603" s="45"/>
      <c r="M603" s="45"/>
      <c r="O603" s="45"/>
      <c r="Q603" s="45"/>
      <c r="W603" s="45"/>
      <c r="Y603" s="45"/>
      <c r="AA603" s="45"/>
      <c r="AE603" s="45"/>
      <c r="AG603" s="45"/>
      <c r="AI603" s="45"/>
      <c r="AK603" s="45"/>
      <c r="AM603" s="45"/>
    </row>
    <row r="604" spans="1:39" ht="12.75" customHeight="1">
      <c r="A604" s="24"/>
      <c r="C604" s="42"/>
      <c r="D604" s="73"/>
      <c r="E604" s="45"/>
      <c r="F604" s="44"/>
      <c r="G604" s="45"/>
      <c r="I604" s="45"/>
      <c r="K604" s="45"/>
      <c r="M604" s="45"/>
      <c r="O604" s="45"/>
      <c r="Q604" s="45"/>
      <c r="W604" s="45"/>
      <c r="Y604" s="45"/>
      <c r="AA604" s="45"/>
      <c r="AE604" s="45"/>
      <c r="AG604" s="45"/>
      <c r="AI604" s="45"/>
      <c r="AK604" s="45"/>
      <c r="AM604" s="45"/>
    </row>
    <row r="605" spans="1:39" ht="12.75" customHeight="1">
      <c r="A605" s="24"/>
      <c r="C605" s="42"/>
      <c r="D605" s="73"/>
      <c r="E605" s="45"/>
      <c r="F605" s="44"/>
      <c r="G605" s="45"/>
      <c r="I605" s="45"/>
      <c r="K605" s="45"/>
      <c r="M605" s="45"/>
      <c r="O605" s="45"/>
      <c r="Q605" s="45"/>
      <c r="W605" s="45"/>
      <c r="Y605" s="45"/>
      <c r="AA605" s="45"/>
      <c r="AE605" s="45"/>
      <c r="AG605" s="45"/>
      <c r="AI605" s="45"/>
      <c r="AK605" s="45"/>
      <c r="AM605" s="45"/>
    </row>
    <row r="606" spans="1:39" ht="12.75" customHeight="1">
      <c r="A606" s="24"/>
      <c r="C606" s="42"/>
      <c r="D606" s="73"/>
      <c r="E606" s="45"/>
      <c r="F606" s="44"/>
      <c r="G606" s="45"/>
      <c r="I606" s="45"/>
      <c r="K606" s="45"/>
      <c r="M606" s="45"/>
      <c r="O606" s="45"/>
      <c r="Q606" s="45"/>
      <c r="W606" s="45"/>
      <c r="Y606" s="45"/>
      <c r="AA606" s="45"/>
      <c r="AE606" s="45"/>
      <c r="AG606" s="45"/>
      <c r="AI606" s="45"/>
      <c r="AK606" s="45"/>
      <c r="AM606" s="45"/>
    </row>
    <row r="607" spans="1:39" ht="12.75" customHeight="1">
      <c r="A607" s="24"/>
      <c r="C607" s="42"/>
      <c r="D607" s="73"/>
      <c r="E607" s="45"/>
      <c r="F607" s="44"/>
      <c r="G607" s="45"/>
      <c r="I607" s="45"/>
      <c r="K607" s="45"/>
      <c r="M607" s="45"/>
      <c r="O607" s="45"/>
      <c r="Q607" s="45"/>
      <c r="W607" s="45"/>
      <c r="Y607" s="45"/>
      <c r="AA607" s="45"/>
      <c r="AE607" s="45"/>
      <c r="AG607" s="45"/>
      <c r="AI607" s="45"/>
      <c r="AK607" s="45"/>
      <c r="AM607" s="45"/>
    </row>
    <row r="608" spans="1:39" ht="12.75" customHeight="1">
      <c r="A608" s="24"/>
      <c r="C608" s="42"/>
      <c r="D608" s="73"/>
      <c r="E608" s="45"/>
      <c r="F608" s="44"/>
      <c r="G608" s="45"/>
      <c r="I608" s="45"/>
      <c r="K608" s="45"/>
      <c r="M608" s="45"/>
      <c r="O608" s="45"/>
      <c r="Q608" s="45"/>
      <c r="W608" s="45"/>
      <c r="Y608" s="45"/>
      <c r="AA608" s="45"/>
      <c r="AE608" s="45"/>
      <c r="AG608" s="45"/>
      <c r="AI608" s="45"/>
      <c r="AK608" s="45"/>
      <c r="AM608" s="45"/>
    </row>
    <row r="609" spans="1:39" ht="12.75" customHeight="1">
      <c r="A609" s="24"/>
      <c r="C609" s="42"/>
      <c r="D609" s="73"/>
      <c r="E609" s="45"/>
      <c r="F609" s="44"/>
      <c r="G609" s="45"/>
      <c r="I609" s="45"/>
      <c r="K609" s="45"/>
      <c r="M609" s="45"/>
      <c r="O609" s="45"/>
      <c r="Q609" s="45"/>
      <c r="W609" s="45"/>
      <c r="Y609" s="45"/>
      <c r="AA609" s="45"/>
      <c r="AE609" s="45"/>
      <c r="AG609" s="45"/>
      <c r="AI609" s="45"/>
      <c r="AK609" s="45"/>
      <c r="AM609" s="45"/>
    </row>
    <row r="610" spans="1:39" ht="12.75" customHeight="1">
      <c r="A610" s="24"/>
      <c r="C610" s="42"/>
      <c r="D610" s="73"/>
      <c r="E610" s="45"/>
      <c r="F610" s="44"/>
      <c r="G610" s="45"/>
      <c r="I610" s="45"/>
      <c r="K610" s="45"/>
      <c r="M610" s="45"/>
      <c r="O610" s="45"/>
      <c r="Q610" s="45"/>
      <c r="W610" s="45"/>
      <c r="Y610" s="45"/>
      <c r="AA610" s="45"/>
      <c r="AE610" s="45"/>
      <c r="AG610" s="45"/>
      <c r="AI610" s="45"/>
      <c r="AK610" s="45"/>
      <c r="AM610" s="45"/>
    </row>
    <row r="611" spans="1:39" ht="12.75" customHeight="1">
      <c r="A611" s="24"/>
      <c r="C611" s="42"/>
      <c r="D611" s="73"/>
      <c r="E611" s="45"/>
      <c r="F611" s="44"/>
      <c r="G611" s="45"/>
      <c r="I611" s="45"/>
      <c r="K611" s="45"/>
      <c r="M611" s="45"/>
      <c r="O611" s="45"/>
      <c r="Q611" s="45"/>
      <c r="W611" s="45"/>
      <c r="Y611" s="45"/>
      <c r="AA611" s="45"/>
      <c r="AE611" s="45"/>
      <c r="AG611" s="45"/>
      <c r="AI611" s="45"/>
      <c r="AK611" s="45"/>
      <c r="AM611" s="45"/>
    </row>
    <row r="612" spans="1:39" ht="12.75" customHeight="1">
      <c r="A612" s="24"/>
      <c r="C612" s="42"/>
      <c r="D612" s="73"/>
      <c r="E612" s="45"/>
      <c r="F612" s="44"/>
      <c r="G612" s="45"/>
      <c r="I612" s="45"/>
      <c r="K612" s="45"/>
      <c r="M612" s="45"/>
      <c r="O612" s="45"/>
      <c r="Q612" s="45"/>
      <c r="W612" s="45"/>
      <c r="Y612" s="45"/>
      <c r="AA612" s="45"/>
      <c r="AE612" s="45"/>
      <c r="AG612" s="45"/>
      <c r="AI612" s="45"/>
      <c r="AK612" s="45"/>
      <c r="AM612" s="45"/>
    </row>
    <row r="613" spans="1:39" ht="12.75" customHeight="1">
      <c r="A613" s="24"/>
      <c r="C613" s="42"/>
      <c r="D613" s="73"/>
      <c r="E613" s="45"/>
      <c r="F613" s="44"/>
      <c r="G613" s="45"/>
      <c r="I613" s="45"/>
      <c r="K613" s="45"/>
      <c r="M613" s="45"/>
      <c r="O613" s="45"/>
      <c r="Q613" s="45"/>
      <c r="W613" s="45"/>
      <c r="Y613" s="45"/>
      <c r="AA613" s="45"/>
      <c r="AE613" s="45"/>
      <c r="AG613" s="45"/>
      <c r="AI613" s="45"/>
      <c r="AK613" s="45"/>
      <c r="AM613" s="45"/>
    </row>
    <row r="614" spans="1:39" ht="12.75" customHeight="1">
      <c r="A614" s="24"/>
      <c r="C614" s="42"/>
      <c r="D614" s="73"/>
      <c r="E614" s="45"/>
      <c r="F614" s="44"/>
      <c r="G614" s="45"/>
      <c r="I614" s="45"/>
      <c r="K614" s="45"/>
      <c r="M614" s="45"/>
      <c r="O614" s="45"/>
      <c r="Q614" s="45"/>
      <c r="W614" s="45"/>
      <c r="Y614" s="45"/>
      <c r="AA614" s="45"/>
      <c r="AE614" s="45"/>
      <c r="AG614" s="45"/>
      <c r="AI614" s="45"/>
      <c r="AK614" s="45"/>
      <c r="AM614" s="45"/>
    </row>
    <row r="615" spans="1:39" ht="12.75" customHeight="1">
      <c r="A615" s="24"/>
      <c r="C615" s="42"/>
      <c r="D615" s="73"/>
      <c r="E615" s="45"/>
      <c r="F615" s="44"/>
      <c r="G615" s="45"/>
      <c r="I615" s="45"/>
      <c r="K615" s="45"/>
      <c r="M615" s="45"/>
      <c r="O615" s="45"/>
      <c r="Q615" s="45"/>
      <c r="W615" s="45"/>
      <c r="Y615" s="45"/>
      <c r="AA615" s="45"/>
      <c r="AE615" s="45"/>
      <c r="AG615" s="45"/>
      <c r="AI615" s="45"/>
      <c r="AK615" s="45"/>
      <c r="AM615" s="45"/>
    </row>
    <row r="616" spans="1:39" ht="12.75" customHeight="1">
      <c r="A616" s="24"/>
      <c r="C616" s="42"/>
      <c r="D616" s="73"/>
      <c r="E616" s="45"/>
      <c r="F616" s="44"/>
      <c r="G616" s="45"/>
      <c r="I616" s="45"/>
      <c r="K616" s="45"/>
      <c r="M616" s="45"/>
      <c r="O616" s="45"/>
      <c r="Q616" s="45"/>
      <c r="W616" s="45"/>
      <c r="Y616" s="45"/>
      <c r="AA616" s="45"/>
      <c r="AE616" s="45"/>
      <c r="AG616" s="45"/>
      <c r="AI616" s="45"/>
      <c r="AK616" s="45"/>
      <c r="AM616" s="45"/>
    </row>
    <row r="617" spans="1:39" ht="12.75" customHeight="1">
      <c r="A617" s="24"/>
      <c r="C617" s="42"/>
      <c r="D617" s="73"/>
      <c r="E617" s="45"/>
      <c r="F617" s="44"/>
      <c r="G617" s="45"/>
      <c r="I617" s="45"/>
      <c r="K617" s="45"/>
      <c r="M617" s="45"/>
      <c r="O617" s="45"/>
      <c r="Q617" s="45"/>
      <c r="W617" s="45"/>
      <c r="Y617" s="45"/>
      <c r="AA617" s="45"/>
      <c r="AE617" s="45"/>
      <c r="AG617" s="45"/>
      <c r="AI617" s="45"/>
      <c r="AK617" s="45"/>
      <c r="AM617" s="45"/>
    </row>
    <row r="618" spans="1:39" ht="12.75" customHeight="1">
      <c r="A618" s="24"/>
      <c r="C618" s="42"/>
      <c r="D618" s="73"/>
      <c r="E618" s="45"/>
      <c r="F618" s="44"/>
      <c r="G618" s="45"/>
      <c r="I618" s="45"/>
      <c r="K618" s="45"/>
      <c r="M618" s="45"/>
      <c r="O618" s="45"/>
      <c r="Q618" s="45"/>
      <c r="W618" s="45"/>
      <c r="Y618" s="45"/>
      <c r="AA618" s="45"/>
      <c r="AE618" s="45"/>
      <c r="AG618" s="45"/>
      <c r="AI618" s="45"/>
      <c r="AK618" s="45"/>
      <c r="AM618" s="45"/>
    </row>
    <row r="619" spans="1:39" ht="12.75" customHeight="1">
      <c r="A619" s="24"/>
      <c r="C619" s="42"/>
      <c r="D619" s="73"/>
      <c r="E619" s="45"/>
      <c r="F619" s="44"/>
      <c r="G619" s="45"/>
      <c r="I619" s="45"/>
      <c r="K619" s="45"/>
      <c r="M619" s="45"/>
      <c r="O619" s="45"/>
      <c r="Q619" s="45"/>
      <c r="W619" s="45"/>
      <c r="Y619" s="45"/>
      <c r="AA619" s="45"/>
      <c r="AE619" s="45"/>
      <c r="AG619" s="45"/>
      <c r="AI619" s="45"/>
      <c r="AK619" s="45"/>
      <c r="AM619" s="45"/>
    </row>
    <row r="620" spans="1:39" ht="12.75" customHeight="1">
      <c r="A620" s="24"/>
      <c r="C620" s="42"/>
      <c r="D620" s="73"/>
      <c r="E620" s="45"/>
      <c r="F620" s="44"/>
      <c r="G620" s="45"/>
      <c r="I620" s="45"/>
      <c r="K620" s="45"/>
      <c r="M620" s="45"/>
      <c r="O620" s="45"/>
      <c r="Q620" s="45"/>
      <c r="W620" s="45"/>
      <c r="Y620" s="45"/>
      <c r="AA620" s="45"/>
      <c r="AE620" s="45"/>
      <c r="AG620" s="45"/>
      <c r="AI620" s="45"/>
      <c r="AK620" s="45"/>
      <c r="AM620" s="45"/>
    </row>
    <row r="621" spans="1:39" ht="12.75" customHeight="1">
      <c r="A621" s="24"/>
      <c r="C621" s="42"/>
      <c r="D621" s="73"/>
      <c r="E621" s="45"/>
      <c r="F621" s="44"/>
      <c r="G621" s="45"/>
      <c r="I621" s="45"/>
      <c r="K621" s="45"/>
      <c r="M621" s="45"/>
      <c r="O621" s="45"/>
      <c r="Q621" s="45"/>
      <c r="W621" s="45"/>
      <c r="Y621" s="45"/>
      <c r="AA621" s="45"/>
      <c r="AE621" s="45"/>
      <c r="AG621" s="45"/>
      <c r="AI621" s="45"/>
      <c r="AK621" s="45"/>
      <c r="AM621" s="45"/>
    </row>
    <row r="622" spans="1:39" ht="12.75" customHeight="1">
      <c r="A622" s="24"/>
      <c r="C622" s="42"/>
      <c r="D622" s="73"/>
      <c r="E622" s="45"/>
      <c r="F622" s="44"/>
      <c r="G622" s="45"/>
      <c r="I622" s="45"/>
      <c r="K622" s="45"/>
      <c r="M622" s="45"/>
      <c r="O622" s="45"/>
      <c r="Q622" s="45"/>
      <c r="W622" s="45"/>
      <c r="Y622" s="45"/>
      <c r="AA622" s="45"/>
      <c r="AE622" s="45"/>
      <c r="AG622" s="45"/>
      <c r="AI622" s="45"/>
      <c r="AK622" s="45"/>
      <c r="AM622" s="45"/>
    </row>
    <row r="623" spans="1:39" ht="12.75" customHeight="1">
      <c r="A623" s="24"/>
      <c r="C623" s="42"/>
      <c r="D623" s="73"/>
      <c r="E623" s="45"/>
      <c r="F623" s="44"/>
      <c r="G623" s="45"/>
      <c r="I623" s="45"/>
      <c r="K623" s="45"/>
      <c r="M623" s="45"/>
      <c r="O623" s="45"/>
      <c r="Q623" s="45"/>
      <c r="W623" s="45"/>
      <c r="Y623" s="45"/>
      <c r="AA623" s="45"/>
      <c r="AE623" s="45"/>
      <c r="AG623" s="45"/>
      <c r="AI623" s="45"/>
      <c r="AK623" s="45"/>
      <c r="AM623" s="45"/>
    </row>
    <row r="624" spans="1:39" ht="12.75" customHeight="1">
      <c r="A624" s="24"/>
      <c r="C624" s="42"/>
      <c r="D624" s="73"/>
      <c r="E624" s="45"/>
      <c r="F624" s="44"/>
      <c r="G624" s="45"/>
      <c r="I624" s="45"/>
      <c r="K624" s="45"/>
      <c r="M624" s="45"/>
      <c r="O624" s="45"/>
      <c r="Q624" s="45"/>
      <c r="W624" s="45"/>
      <c r="Y624" s="45"/>
      <c r="AA624" s="45"/>
      <c r="AE624" s="45"/>
      <c r="AG624" s="45"/>
      <c r="AI624" s="45"/>
      <c r="AK624" s="45"/>
      <c r="AM624" s="45"/>
    </row>
    <row r="625" spans="1:39" ht="12.75" customHeight="1">
      <c r="A625" s="24"/>
      <c r="C625" s="42"/>
      <c r="D625" s="73"/>
      <c r="E625" s="45"/>
      <c r="F625" s="44"/>
      <c r="G625" s="45"/>
      <c r="I625" s="45"/>
      <c r="K625" s="45"/>
      <c r="M625" s="45"/>
      <c r="O625" s="45"/>
      <c r="Q625" s="45"/>
      <c r="W625" s="45"/>
      <c r="Y625" s="45"/>
      <c r="AA625" s="45"/>
      <c r="AE625" s="45"/>
      <c r="AG625" s="45"/>
      <c r="AI625" s="45"/>
      <c r="AK625" s="45"/>
      <c r="AM625" s="45"/>
    </row>
    <row r="626" spans="1:39" ht="12.75" customHeight="1">
      <c r="A626" s="24"/>
      <c r="C626" s="42"/>
      <c r="D626" s="73"/>
      <c r="E626" s="45"/>
      <c r="F626" s="44"/>
      <c r="G626" s="45"/>
      <c r="I626" s="45"/>
      <c r="K626" s="45"/>
      <c r="M626" s="45"/>
      <c r="O626" s="45"/>
      <c r="Q626" s="45"/>
      <c r="W626" s="45"/>
      <c r="Y626" s="45"/>
      <c r="AA626" s="45"/>
      <c r="AE626" s="45"/>
      <c r="AG626" s="45"/>
      <c r="AI626" s="45"/>
      <c r="AK626" s="45"/>
      <c r="AM626" s="45"/>
    </row>
    <row r="627" spans="1:39" ht="12.75" customHeight="1">
      <c r="A627" s="24"/>
      <c r="C627" s="42"/>
      <c r="D627" s="73"/>
      <c r="E627" s="45"/>
      <c r="F627" s="44"/>
      <c r="G627" s="45"/>
      <c r="I627" s="45"/>
      <c r="K627" s="45"/>
      <c r="M627" s="45"/>
      <c r="O627" s="45"/>
      <c r="Q627" s="45"/>
      <c r="W627" s="45"/>
      <c r="Y627" s="45"/>
      <c r="AA627" s="45"/>
      <c r="AE627" s="45"/>
      <c r="AG627" s="45"/>
      <c r="AI627" s="45"/>
      <c r="AK627" s="45"/>
      <c r="AM627" s="45"/>
    </row>
    <row r="628" spans="1:39" ht="12.75" customHeight="1">
      <c r="A628" s="24"/>
      <c r="C628" s="42"/>
      <c r="D628" s="73"/>
      <c r="E628" s="45"/>
      <c r="F628" s="44"/>
      <c r="G628" s="45"/>
      <c r="I628" s="45"/>
      <c r="K628" s="45"/>
      <c r="M628" s="45"/>
      <c r="O628" s="45"/>
      <c r="Q628" s="45"/>
      <c r="W628" s="45"/>
      <c r="Y628" s="45"/>
      <c r="AA628" s="45"/>
      <c r="AE628" s="45"/>
      <c r="AG628" s="45"/>
      <c r="AI628" s="45"/>
      <c r="AK628" s="45"/>
      <c r="AM628" s="45"/>
    </row>
    <row r="629" spans="1:39" ht="12.75" customHeight="1">
      <c r="A629" s="24"/>
      <c r="C629" s="42"/>
      <c r="D629" s="73"/>
      <c r="E629" s="45"/>
      <c r="F629" s="44"/>
      <c r="G629" s="45"/>
      <c r="I629" s="45"/>
      <c r="K629" s="45"/>
      <c r="M629" s="45"/>
      <c r="O629" s="45"/>
      <c r="Q629" s="45"/>
      <c r="W629" s="45"/>
      <c r="Y629" s="45"/>
      <c r="AA629" s="45"/>
      <c r="AE629" s="45"/>
      <c r="AG629" s="45"/>
      <c r="AI629" s="45"/>
      <c r="AK629" s="45"/>
      <c r="AM629" s="45"/>
    </row>
    <row r="630" spans="1:39" ht="12.75" customHeight="1">
      <c r="A630" s="24"/>
      <c r="C630" s="42"/>
      <c r="D630" s="73"/>
      <c r="E630" s="45"/>
      <c r="F630" s="44"/>
      <c r="G630" s="45"/>
      <c r="I630" s="45"/>
      <c r="K630" s="45"/>
      <c r="M630" s="45"/>
      <c r="O630" s="45"/>
      <c r="Q630" s="45"/>
      <c r="W630" s="45"/>
      <c r="Y630" s="45"/>
      <c r="AA630" s="45"/>
      <c r="AE630" s="45"/>
      <c r="AG630" s="45"/>
      <c r="AI630" s="45"/>
      <c r="AK630" s="45"/>
      <c r="AM630" s="45"/>
    </row>
    <row r="631" spans="1:39" ht="12.75" customHeight="1">
      <c r="A631" s="24"/>
      <c r="C631" s="42"/>
      <c r="D631" s="73"/>
      <c r="E631" s="45"/>
      <c r="F631" s="44"/>
      <c r="G631" s="45"/>
      <c r="I631" s="45"/>
      <c r="K631" s="45"/>
      <c r="M631" s="45"/>
      <c r="O631" s="45"/>
      <c r="Q631" s="45"/>
      <c r="W631" s="45"/>
      <c r="Y631" s="45"/>
      <c r="AA631" s="45"/>
      <c r="AE631" s="45"/>
      <c r="AG631" s="45"/>
      <c r="AI631" s="45"/>
      <c r="AK631" s="45"/>
      <c r="AM631" s="45"/>
    </row>
    <row r="632" spans="1:39" ht="12.75" customHeight="1">
      <c r="A632" s="24"/>
      <c r="C632" s="42"/>
      <c r="D632" s="73"/>
      <c r="E632" s="45"/>
      <c r="F632" s="44"/>
      <c r="G632" s="45"/>
      <c r="I632" s="45"/>
      <c r="K632" s="45"/>
      <c r="M632" s="45"/>
      <c r="O632" s="45"/>
      <c r="Q632" s="45"/>
      <c r="W632" s="45"/>
      <c r="Y632" s="45"/>
      <c r="AA632" s="45"/>
      <c r="AE632" s="45"/>
      <c r="AG632" s="45"/>
      <c r="AI632" s="45"/>
      <c r="AK632" s="45"/>
      <c r="AM632" s="45"/>
    </row>
    <row r="633" spans="1:39" ht="12.75" customHeight="1">
      <c r="A633" s="24"/>
      <c r="C633" s="42"/>
      <c r="D633" s="73"/>
      <c r="E633" s="45"/>
      <c r="F633" s="44"/>
      <c r="G633" s="45"/>
      <c r="I633" s="45"/>
      <c r="K633" s="45"/>
      <c r="M633" s="45"/>
      <c r="O633" s="45"/>
      <c r="Q633" s="45"/>
      <c r="W633" s="45"/>
      <c r="Y633" s="45"/>
      <c r="AA633" s="45"/>
      <c r="AE633" s="45"/>
      <c r="AG633" s="45"/>
      <c r="AI633" s="45"/>
      <c r="AK633" s="45"/>
      <c r="AM633" s="45"/>
    </row>
    <row r="634" spans="1:39" ht="12.75" customHeight="1">
      <c r="A634" s="24"/>
      <c r="C634" s="42"/>
      <c r="D634" s="73"/>
      <c r="E634" s="45"/>
      <c r="F634" s="44"/>
      <c r="G634" s="45"/>
      <c r="I634" s="45"/>
      <c r="K634" s="45"/>
      <c r="M634" s="45"/>
      <c r="O634" s="45"/>
      <c r="Q634" s="45"/>
      <c r="W634" s="45"/>
      <c r="Y634" s="45"/>
      <c r="AA634" s="45"/>
      <c r="AE634" s="45"/>
      <c r="AG634" s="45"/>
      <c r="AI634" s="45"/>
      <c r="AK634" s="45"/>
      <c r="AM634" s="45"/>
    </row>
    <row r="635" spans="1:39" ht="12.75" customHeight="1">
      <c r="A635" s="24"/>
      <c r="C635" s="42"/>
      <c r="D635" s="73"/>
      <c r="E635" s="45"/>
      <c r="F635" s="44"/>
      <c r="G635" s="45"/>
      <c r="I635" s="45"/>
      <c r="K635" s="45"/>
      <c r="M635" s="45"/>
      <c r="O635" s="45"/>
      <c r="Q635" s="45"/>
      <c r="W635" s="45"/>
      <c r="Y635" s="45"/>
      <c r="AA635" s="45"/>
      <c r="AE635" s="45"/>
      <c r="AG635" s="45"/>
      <c r="AI635" s="45"/>
      <c r="AK635" s="45"/>
      <c r="AM635" s="45"/>
    </row>
    <row r="636" spans="1:39" ht="12.75" customHeight="1">
      <c r="A636" s="24"/>
      <c r="C636" s="42"/>
      <c r="D636" s="73"/>
      <c r="E636" s="45"/>
      <c r="F636" s="44"/>
      <c r="G636" s="45"/>
      <c r="I636" s="45"/>
      <c r="K636" s="45"/>
      <c r="M636" s="45"/>
      <c r="O636" s="45"/>
      <c r="Q636" s="45"/>
      <c r="W636" s="45"/>
      <c r="Y636" s="45"/>
      <c r="AA636" s="45"/>
      <c r="AE636" s="45"/>
      <c r="AG636" s="45"/>
      <c r="AI636" s="45"/>
      <c r="AK636" s="45"/>
      <c r="AM636" s="45"/>
    </row>
    <row r="637" spans="1:39" ht="12.75" customHeight="1">
      <c r="A637" s="24"/>
      <c r="C637" s="42"/>
      <c r="D637" s="73"/>
      <c r="E637" s="45"/>
      <c r="F637" s="44"/>
      <c r="G637" s="45"/>
      <c r="I637" s="45"/>
      <c r="K637" s="45"/>
      <c r="M637" s="45"/>
      <c r="O637" s="45"/>
      <c r="Q637" s="45"/>
      <c r="W637" s="45"/>
      <c r="Y637" s="45"/>
      <c r="AA637" s="45"/>
      <c r="AE637" s="45"/>
      <c r="AG637" s="45"/>
      <c r="AI637" s="45"/>
      <c r="AK637" s="45"/>
      <c r="AM637" s="45"/>
    </row>
    <row r="638" spans="1:39" ht="12.75" customHeight="1">
      <c r="A638" s="24"/>
      <c r="C638" s="42"/>
      <c r="D638" s="73"/>
      <c r="E638" s="45"/>
      <c r="F638" s="44"/>
      <c r="G638" s="45"/>
      <c r="I638" s="45"/>
      <c r="K638" s="45"/>
      <c r="M638" s="45"/>
      <c r="O638" s="45"/>
      <c r="Q638" s="45"/>
      <c r="W638" s="45"/>
      <c r="Y638" s="45"/>
      <c r="AA638" s="45"/>
      <c r="AE638" s="45"/>
      <c r="AG638" s="45"/>
      <c r="AI638" s="45"/>
      <c r="AK638" s="45"/>
      <c r="AM638" s="45"/>
    </row>
    <row r="639" spans="1:39" ht="12.75" customHeight="1">
      <c r="A639" s="24"/>
      <c r="C639" s="42"/>
      <c r="D639" s="73"/>
      <c r="E639" s="45"/>
      <c r="F639" s="44"/>
      <c r="G639" s="45"/>
      <c r="I639" s="45"/>
      <c r="K639" s="45"/>
      <c r="M639" s="45"/>
      <c r="O639" s="45"/>
      <c r="Q639" s="45"/>
      <c r="W639" s="45"/>
      <c r="Y639" s="45"/>
      <c r="AA639" s="45"/>
      <c r="AE639" s="45"/>
      <c r="AG639" s="45"/>
      <c r="AI639" s="45"/>
      <c r="AK639" s="45"/>
      <c r="AM639" s="45"/>
    </row>
    <row r="640" spans="1:39" ht="12.75" customHeight="1">
      <c r="A640" s="24"/>
      <c r="C640" s="42"/>
      <c r="D640" s="73"/>
      <c r="E640" s="45"/>
      <c r="F640" s="44"/>
      <c r="G640" s="45"/>
      <c r="I640" s="45"/>
      <c r="K640" s="45"/>
      <c r="M640" s="45"/>
      <c r="O640" s="45"/>
      <c r="Q640" s="45"/>
      <c r="W640" s="45"/>
      <c r="Y640" s="45"/>
      <c r="AA640" s="45"/>
      <c r="AE640" s="45"/>
      <c r="AG640" s="45"/>
      <c r="AI640" s="45"/>
      <c r="AK640" s="45"/>
      <c r="AM640" s="45"/>
    </row>
    <row r="641" spans="1:39" ht="12.75" customHeight="1">
      <c r="A641" s="24"/>
      <c r="C641" s="42"/>
      <c r="D641" s="73"/>
      <c r="E641" s="45"/>
      <c r="F641" s="44"/>
      <c r="G641" s="45"/>
      <c r="I641" s="45"/>
      <c r="K641" s="45"/>
      <c r="M641" s="45"/>
      <c r="O641" s="45"/>
      <c r="Q641" s="45"/>
      <c r="W641" s="45"/>
      <c r="Y641" s="45"/>
      <c r="AA641" s="45"/>
      <c r="AE641" s="45"/>
      <c r="AG641" s="45"/>
      <c r="AI641" s="45"/>
      <c r="AK641" s="45"/>
      <c r="AM641" s="45"/>
    </row>
    <row r="642" spans="1:39" ht="12.75" customHeight="1">
      <c r="A642" s="24"/>
      <c r="C642" s="42"/>
      <c r="D642" s="73"/>
      <c r="E642" s="45"/>
      <c r="F642" s="44"/>
      <c r="G642" s="45"/>
      <c r="I642" s="45"/>
      <c r="K642" s="45"/>
      <c r="M642" s="45"/>
      <c r="O642" s="45"/>
      <c r="Q642" s="45"/>
      <c r="W642" s="45"/>
      <c r="Y642" s="45"/>
      <c r="AA642" s="45"/>
      <c r="AE642" s="45"/>
      <c r="AG642" s="45"/>
      <c r="AI642" s="45"/>
      <c r="AK642" s="45"/>
      <c r="AM642" s="45"/>
    </row>
    <row r="643" spans="1:39" ht="12.75" customHeight="1">
      <c r="A643" s="24"/>
      <c r="C643" s="42"/>
      <c r="D643" s="73"/>
      <c r="E643" s="45"/>
      <c r="F643" s="44"/>
      <c r="G643" s="45"/>
      <c r="I643" s="45"/>
      <c r="K643" s="45"/>
      <c r="M643" s="45"/>
      <c r="O643" s="45"/>
      <c r="Q643" s="45"/>
      <c r="W643" s="45"/>
      <c r="Y643" s="45"/>
      <c r="AA643" s="45"/>
      <c r="AE643" s="45"/>
      <c r="AG643" s="45"/>
      <c r="AI643" s="45"/>
      <c r="AK643" s="45"/>
      <c r="AM643" s="45"/>
    </row>
    <row r="644" spans="1:39" ht="12.75" customHeight="1">
      <c r="A644" s="24"/>
      <c r="C644" s="42"/>
      <c r="D644" s="73"/>
      <c r="E644" s="45"/>
      <c r="F644" s="44"/>
      <c r="G644" s="45"/>
      <c r="I644" s="45"/>
      <c r="K644" s="45"/>
      <c r="M644" s="45"/>
      <c r="O644" s="45"/>
      <c r="Q644" s="45"/>
      <c r="W644" s="45"/>
      <c r="Y644" s="45"/>
      <c r="AA644" s="45"/>
      <c r="AE644" s="45"/>
      <c r="AG644" s="45"/>
      <c r="AI644" s="45"/>
      <c r="AK644" s="45"/>
      <c r="AM644" s="45"/>
    </row>
    <row r="645" spans="1:39" ht="12.75" customHeight="1">
      <c r="A645" s="24"/>
      <c r="C645" s="42"/>
      <c r="D645" s="73"/>
      <c r="E645" s="45"/>
      <c r="F645" s="44"/>
      <c r="G645" s="45"/>
      <c r="I645" s="45"/>
      <c r="K645" s="45"/>
      <c r="M645" s="45"/>
      <c r="O645" s="45"/>
      <c r="Q645" s="45"/>
      <c r="W645" s="45"/>
      <c r="Y645" s="45"/>
      <c r="AA645" s="45"/>
      <c r="AE645" s="45"/>
      <c r="AG645" s="45"/>
      <c r="AI645" s="45"/>
      <c r="AK645" s="45"/>
      <c r="AM645" s="45"/>
    </row>
    <row r="646" spans="1:39" ht="12.75" customHeight="1">
      <c r="A646" s="24"/>
      <c r="C646" s="42"/>
      <c r="D646" s="73"/>
      <c r="E646" s="45"/>
      <c r="F646" s="44"/>
      <c r="G646" s="45"/>
      <c r="I646" s="45"/>
      <c r="K646" s="45"/>
      <c r="M646" s="45"/>
      <c r="O646" s="45"/>
      <c r="Q646" s="45"/>
      <c r="W646" s="45"/>
      <c r="Y646" s="45"/>
      <c r="AA646" s="45"/>
      <c r="AE646" s="45"/>
      <c r="AG646" s="45"/>
      <c r="AI646" s="45"/>
      <c r="AK646" s="45"/>
      <c r="AM646" s="45"/>
    </row>
    <row r="647" spans="1:39" ht="12.75" customHeight="1">
      <c r="A647" s="24"/>
      <c r="C647" s="42"/>
      <c r="D647" s="73"/>
      <c r="E647" s="45"/>
      <c r="F647" s="44"/>
      <c r="G647" s="45"/>
      <c r="I647" s="45"/>
      <c r="K647" s="45"/>
      <c r="M647" s="45"/>
      <c r="O647" s="45"/>
      <c r="Q647" s="45"/>
      <c r="W647" s="45"/>
      <c r="Y647" s="45"/>
      <c r="AA647" s="45"/>
      <c r="AE647" s="45"/>
      <c r="AG647" s="45"/>
      <c r="AI647" s="45"/>
      <c r="AK647" s="45"/>
      <c r="AM647" s="45"/>
    </row>
    <row r="648" spans="1:39" ht="12.75" customHeight="1">
      <c r="A648" s="24"/>
      <c r="C648" s="42"/>
      <c r="D648" s="73"/>
      <c r="E648" s="45"/>
      <c r="F648" s="44"/>
      <c r="G648" s="45"/>
      <c r="I648" s="45"/>
      <c r="K648" s="45"/>
      <c r="M648" s="45"/>
      <c r="O648" s="45"/>
      <c r="Q648" s="45"/>
      <c r="W648" s="45"/>
      <c r="Y648" s="45"/>
      <c r="AA648" s="45"/>
      <c r="AE648" s="45"/>
      <c r="AG648" s="45"/>
      <c r="AI648" s="45"/>
      <c r="AK648" s="45"/>
      <c r="AM648" s="45"/>
    </row>
    <row r="649" spans="1:39" ht="12.75" customHeight="1">
      <c r="A649" s="24"/>
      <c r="C649" s="42"/>
      <c r="D649" s="73"/>
      <c r="E649" s="45"/>
      <c r="F649" s="44"/>
      <c r="G649" s="45"/>
      <c r="I649" s="45"/>
      <c r="K649" s="45"/>
      <c r="M649" s="45"/>
      <c r="O649" s="45"/>
      <c r="Q649" s="45"/>
      <c r="W649" s="45"/>
      <c r="Y649" s="45"/>
      <c r="AA649" s="45"/>
      <c r="AE649" s="45"/>
      <c r="AG649" s="45"/>
      <c r="AI649" s="45"/>
      <c r="AK649" s="45"/>
      <c r="AM649" s="45"/>
    </row>
    <row r="650" spans="1:39" ht="12.75" customHeight="1">
      <c r="A650" s="24"/>
      <c r="C650" s="42"/>
      <c r="D650" s="73"/>
      <c r="E650" s="45"/>
      <c r="F650" s="44"/>
      <c r="G650" s="45"/>
      <c r="I650" s="45"/>
      <c r="K650" s="45"/>
      <c r="M650" s="45"/>
      <c r="O650" s="45"/>
      <c r="Q650" s="45"/>
      <c r="W650" s="45"/>
      <c r="Y650" s="45"/>
      <c r="AA650" s="45"/>
      <c r="AE650" s="45"/>
      <c r="AG650" s="45"/>
      <c r="AI650" s="45"/>
      <c r="AK650" s="45"/>
      <c r="AM650" s="45"/>
    </row>
    <row r="651" spans="1:39" ht="12.75" customHeight="1">
      <c r="A651" s="24"/>
      <c r="C651" s="42"/>
      <c r="D651" s="73"/>
      <c r="E651" s="45"/>
      <c r="F651" s="44"/>
      <c r="G651" s="45"/>
      <c r="I651" s="45"/>
      <c r="K651" s="45"/>
      <c r="M651" s="45"/>
      <c r="O651" s="45"/>
      <c r="Q651" s="45"/>
      <c r="W651" s="45"/>
      <c r="Y651" s="45"/>
      <c r="AA651" s="45"/>
      <c r="AE651" s="45"/>
      <c r="AG651" s="45"/>
      <c r="AI651" s="45"/>
      <c r="AK651" s="45"/>
      <c r="AM651" s="45"/>
    </row>
    <row r="652" spans="1:39" ht="12.75" customHeight="1">
      <c r="A652" s="24"/>
      <c r="C652" s="42"/>
      <c r="D652" s="73"/>
      <c r="E652" s="45"/>
      <c r="F652" s="44"/>
      <c r="G652" s="45"/>
      <c r="I652" s="45"/>
      <c r="K652" s="45"/>
      <c r="M652" s="45"/>
      <c r="O652" s="45"/>
      <c r="Q652" s="45"/>
      <c r="W652" s="45"/>
      <c r="Y652" s="45"/>
      <c r="AA652" s="45"/>
      <c r="AE652" s="45"/>
      <c r="AG652" s="45"/>
      <c r="AI652" s="45"/>
      <c r="AK652" s="45"/>
      <c r="AM652" s="45"/>
    </row>
    <row r="653" spans="1:39" ht="12.75" customHeight="1">
      <c r="A653" s="24"/>
      <c r="C653" s="42"/>
      <c r="D653" s="73"/>
      <c r="E653" s="45"/>
      <c r="F653" s="44"/>
      <c r="G653" s="45"/>
      <c r="I653" s="45"/>
      <c r="K653" s="45"/>
      <c r="M653" s="45"/>
      <c r="O653" s="45"/>
      <c r="Q653" s="45"/>
      <c r="W653" s="45"/>
      <c r="Y653" s="45"/>
      <c r="AA653" s="45"/>
      <c r="AE653" s="45"/>
      <c r="AG653" s="45"/>
      <c r="AI653" s="45"/>
      <c r="AK653" s="45"/>
      <c r="AM653" s="45"/>
    </row>
    <row r="654" spans="1:39" ht="12.75" customHeight="1">
      <c r="A654" s="24"/>
      <c r="C654" s="42"/>
      <c r="D654" s="73"/>
      <c r="E654" s="45"/>
      <c r="F654" s="44"/>
      <c r="G654" s="45"/>
      <c r="I654" s="45"/>
      <c r="K654" s="45"/>
      <c r="M654" s="45"/>
      <c r="O654" s="45"/>
      <c r="Q654" s="45"/>
      <c r="W654" s="45"/>
      <c r="Y654" s="45"/>
      <c r="AA654" s="45"/>
      <c r="AE654" s="45"/>
      <c r="AG654" s="45"/>
      <c r="AI654" s="45"/>
      <c r="AK654" s="45"/>
      <c r="AM654" s="45"/>
    </row>
    <row r="655" spans="1:39" ht="12.75" customHeight="1">
      <c r="A655" s="24"/>
      <c r="C655" s="42"/>
      <c r="D655" s="73"/>
      <c r="E655" s="45"/>
      <c r="F655" s="44"/>
      <c r="G655" s="45"/>
      <c r="I655" s="45"/>
      <c r="K655" s="45"/>
      <c r="M655" s="45"/>
      <c r="O655" s="45"/>
      <c r="Q655" s="45"/>
      <c r="W655" s="45"/>
      <c r="Y655" s="45"/>
      <c r="AA655" s="45"/>
      <c r="AE655" s="45"/>
      <c r="AG655" s="45"/>
      <c r="AI655" s="45"/>
      <c r="AK655" s="45"/>
      <c r="AM655" s="45"/>
    </row>
    <row r="656" spans="1:39" ht="12.75" customHeight="1">
      <c r="A656" s="24"/>
      <c r="C656" s="42"/>
      <c r="D656" s="73"/>
      <c r="E656" s="45"/>
      <c r="F656" s="44"/>
      <c r="G656" s="45"/>
      <c r="I656" s="45"/>
      <c r="K656" s="45"/>
      <c r="M656" s="45"/>
      <c r="O656" s="45"/>
      <c r="Q656" s="45"/>
      <c r="W656" s="45"/>
      <c r="Y656" s="45"/>
      <c r="AA656" s="45"/>
      <c r="AE656" s="45"/>
      <c r="AG656" s="45"/>
      <c r="AI656" s="45"/>
      <c r="AK656" s="45"/>
      <c r="AM656" s="45"/>
    </row>
    <row r="657" spans="1:39" ht="12.75" customHeight="1">
      <c r="A657" s="24"/>
      <c r="C657" s="42"/>
      <c r="D657" s="73"/>
      <c r="E657" s="45"/>
      <c r="F657" s="44"/>
      <c r="G657" s="45"/>
      <c r="I657" s="45"/>
      <c r="K657" s="45"/>
      <c r="M657" s="45"/>
      <c r="O657" s="45"/>
      <c r="Q657" s="45"/>
      <c r="W657" s="45"/>
      <c r="Y657" s="45"/>
      <c r="AA657" s="45"/>
      <c r="AE657" s="45"/>
      <c r="AG657" s="45"/>
      <c r="AI657" s="45"/>
      <c r="AK657" s="45"/>
      <c r="AM657" s="45"/>
    </row>
    <row r="658" spans="1:39" ht="12.75" customHeight="1">
      <c r="A658" s="24"/>
      <c r="C658" s="42"/>
      <c r="D658" s="73"/>
      <c r="E658" s="45"/>
      <c r="F658" s="44"/>
      <c r="G658" s="45"/>
      <c r="I658" s="45"/>
      <c r="K658" s="45"/>
      <c r="M658" s="45"/>
      <c r="O658" s="45"/>
      <c r="Q658" s="45"/>
      <c r="W658" s="45"/>
      <c r="Y658" s="45"/>
      <c r="AA658" s="45"/>
      <c r="AE658" s="45"/>
      <c r="AG658" s="45"/>
      <c r="AI658" s="45"/>
      <c r="AK658" s="45"/>
      <c r="AM658" s="45"/>
    </row>
    <row r="659" spans="1:39" ht="12.75" customHeight="1">
      <c r="A659" s="24"/>
      <c r="C659" s="42"/>
      <c r="D659" s="73"/>
      <c r="E659" s="45"/>
      <c r="F659" s="44"/>
      <c r="G659" s="45"/>
      <c r="I659" s="45"/>
      <c r="K659" s="45"/>
      <c r="M659" s="45"/>
      <c r="O659" s="45"/>
      <c r="Q659" s="45"/>
      <c r="W659" s="45"/>
      <c r="Y659" s="45"/>
      <c r="AA659" s="45"/>
      <c r="AE659" s="45"/>
      <c r="AG659" s="45"/>
      <c r="AI659" s="45"/>
      <c r="AK659" s="45"/>
      <c r="AM659" s="45"/>
    </row>
    <row r="660" spans="1:39" ht="12.75" customHeight="1">
      <c r="A660" s="24"/>
      <c r="C660" s="42"/>
      <c r="D660" s="73"/>
      <c r="E660" s="45"/>
      <c r="F660" s="44"/>
      <c r="G660" s="45"/>
      <c r="I660" s="45"/>
      <c r="K660" s="45"/>
      <c r="M660" s="45"/>
      <c r="O660" s="45"/>
      <c r="Q660" s="45"/>
      <c r="W660" s="45"/>
      <c r="Y660" s="45"/>
      <c r="AA660" s="45"/>
      <c r="AE660" s="45"/>
      <c r="AG660" s="45"/>
      <c r="AI660" s="45"/>
      <c r="AK660" s="45"/>
      <c r="AM660" s="45"/>
    </row>
    <row r="661" spans="1:39" ht="12.75" customHeight="1">
      <c r="A661" s="24"/>
      <c r="C661" s="42"/>
      <c r="D661" s="73"/>
      <c r="E661" s="45"/>
      <c r="F661" s="44"/>
      <c r="G661" s="45"/>
      <c r="I661" s="45"/>
      <c r="K661" s="45"/>
      <c r="M661" s="45"/>
      <c r="O661" s="45"/>
      <c r="Q661" s="45"/>
      <c r="W661" s="45"/>
      <c r="Y661" s="45"/>
      <c r="AA661" s="45"/>
      <c r="AE661" s="45"/>
      <c r="AG661" s="45"/>
      <c r="AI661" s="45"/>
      <c r="AK661" s="45"/>
      <c r="AM661" s="45"/>
    </row>
    <row r="662" spans="1:39" ht="12.75" customHeight="1">
      <c r="A662" s="24"/>
      <c r="C662" s="42"/>
      <c r="D662" s="73"/>
      <c r="E662" s="45"/>
      <c r="F662" s="44"/>
      <c r="G662" s="45"/>
      <c r="I662" s="45"/>
      <c r="K662" s="45"/>
      <c r="M662" s="45"/>
      <c r="O662" s="45"/>
      <c r="Q662" s="45"/>
      <c r="W662" s="45"/>
      <c r="Y662" s="45"/>
      <c r="AA662" s="45"/>
      <c r="AE662" s="45"/>
      <c r="AG662" s="45"/>
      <c r="AI662" s="45"/>
      <c r="AK662" s="45"/>
      <c r="AM662" s="45"/>
    </row>
    <row r="663" spans="1:39" ht="12.75" customHeight="1">
      <c r="A663" s="24"/>
      <c r="C663" s="42"/>
      <c r="D663" s="73"/>
      <c r="E663" s="45"/>
      <c r="F663" s="44"/>
      <c r="G663" s="45"/>
      <c r="I663" s="45"/>
      <c r="K663" s="45"/>
      <c r="M663" s="45"/>
      <c r="O663" s="45"/>
      <c r="Q663" s="45"/>
      <c r="W663" s="45"/>
      <c r="Y663" s="45"/>
      <c r="AA663" s="45"/>
      <c r="AE663" s="45"/>
      <c r="AG663" s="45"/>
      <c r="AI663" s="45"/>
      <c r="AK663" s="45"/>
      <c r="AM663" s="45"/>
    </row>
    <row r="664" spans="1:39" ht="12.75" customHeight="1">
      <c r="A664" s="24"/>
      <c r="C664" s="42"/>
      <c r="D664" s="73"/>
      <c r="E664" s="45"/>
      <c r="F664" s="44"/>
      <c r="G664" s="45"/>
      <c r="I664" s="45"/>
      <c r="K664" s="45"/>
      <c r="M664" s="45"/>
      <c r="O664" s="45"/>
      <c r="Q664" s="45"/>
      <c r="W664" s="45"/>
      <c r="Y664" s="45"/>
      <c r="AA664" s="45"/>
      <c r="AE664" s="45"/>
      <c r="AG664" s="45"/>
      <c r="AI664" s="45"/>
      <c r="AK664" s="45"/>
      <c r="AM664" s="45"/>
    </row>
    <row r="665" spans="1:39" ht="12.75" customHeight="1">
      <c r="A665" s="24"/>
      <c r="C665" s="42"/>
      <c r="D665" s="73"/>
      <c r="E665" s="45"/>
      <c r="F665" s="44"/>
      <c r="G665" s="45"/>
      <c r="I665" s="45"/>
      <c r="K665" s="45"/>
      <c r="M665" s="45"/>
      <c r="O665" s="45"/>
      <c r="Q665" s="45"/>
      <c r="W665" s="45"/>
      <c r="Y665" s="45"/>
      <c r="AA665" s="45"/>
      <c r="AE665" s="45"/>
      <c r="AG665" s="45"/>
      <c r="AI665" s="45"/>
      <c r="AK665" s="45"/>
      <c r="AM665" s="45"/>
    </row>
    <row r="666" spans="1:39" ht="12.75" customHeight="1">
      <c r="A666" s="24"/>
      <c r="C666" s="42"/>
      <c r="D666" s="73"/>
      <c r="E666" s="45"/>
      <c r="F666" s="44"/>
      <c r="G666" s="45"/>
      <c r="I666" s="45"/>
      <c r="K666" s="45"/>
      <c r="M666" s="45"/>
      <c r="O666" s="45"/>
      <c r="Q666" s="45"/>
      <c r="W666" s="45"/>
      <c r="Y666" s="45"/>
      <c r="AA666" s="45"/>
      <c r="AE666" s="45"/>
      <c r="AG666" s="45"/>
      <c r="AI666" s="45"/>
      <c r="AK666" s="45"/>
      <c r="AM666" s="45"/>
    </row>
    <row r="667" spans="1:39" ht="12.75" customHeight="1">
      <c r="A667" s="24"/>
      <c r="C667" s="42"/>
      <c r="D667" s="73"/>
      <c r="E667" s="45"/>
      <c r="F667" s="44"/>
      <c r="G667" s="45"/>
      <c r="I667" s="45"/>
      <c r="K667" s="45"/>
      <c r="M667" s="45"/>
      <c r="O667" s="45"/>
      <c r="Q667" s="45"/>
      <c r="W667" s="45"/>
      <c r="Y667" s="45"/>
      <c r="AA667" s="45"/>
      <c r="AE667" s="45"/>
      <c r="AG667" s="45"/>
      <c r="AI667" s="45"/>
      <c r="AK667" s="45"/>
      <c r="AM667" s="45"/>
    </row>
    <row r="668" spans="1:39" ht="12.75" customHeight="1">
      <c r="A668" s="24"/>
      <c r="C668" s="42"/>
      <c r="D668" s="73"/>
      <c r="E668" s="45"/>
      <c r="F668" s="44"/>
      <c r="G668" s="45"/>
      <c r="I668" s="45"/>
      <c r="K668" s="45"/>
      <c r="M668" s="45"/>
      <c r="O668" s="45"/>
      <c r="Q668" s="45"/>
      <c r="W668" s="45"/>
      <c r="Y668" s="45"/>
      <c r="AA668" s="45"/>
      <c r="AE668" s="45"/>
      <c r="AG668" s="45"/>
      <c r="AI668" s="45"/>
      <c r="AK668" s="45"/>
      <c r="AM668" s="45"/>
    </row>
    <row r="669" spans="1:39" ht="12.75" customHeight="1">
      <c r="A669" s="24"/>
      <c r="C669" s="42"/>
      <c r="D669" s="73"/>
      <c r="E669" s="45"/>
      <c r="F669" s="44"/>
      <c r="G669" s="45"/>
      <c r="I669" s="45"/>
      <c r="K669" s="45"/>
      <c r="M669" s="45"/>
      <c r="O669" s="45"/>
      <c r="Q669" s="45"/>
      <c r="W669" s="45"/>
      <c r="Y669" s="45"/>
      <c r="AA669" s="45"/>
      <c r="AE669" s="45"/>
      <c r="AG669" s="45"/>
      <c r="AI669" s="45"/>
      <c r="AK669" s="45"/>
      <c r="AM669" s="45"/>
    </row>
    <row r="670" spans="1:39" ht="12.75" customHeight="1">
      <c r="A670" s="24"/>
      <c r="C670" s="42"/>
      <c r="D670" s="73"/>
      <c r="E670" s="45"/>
      <c r="F670" s="44"/>
      <c r="G670" s="45"/>
      <c r="I670" s="45"/>
      <c r="K670" s="45"/>
      <c r="M670" s="45"/>
      <c r="O670" s="45"/>
      <c r="Q670" s="45"/>
      <c r="W670" s="45"/>
      <c r="Y670" s="45"/>
      <c r="AA670" s="45"/>
      <c r="AE670" s="45"/>
      <c r="AG670" s="45"/>
      <c r="AI670" s="45"/>
      <c r="AK670" s="45"/>
      <c r="AM670" s="45"/>
    </row>
    <row r="671" spans="1:39" ht="12.75" customHeight="1">
      <c r="A671" s="24"/>
      <c r="C671" s="42"/>
      <c r="D671" s="73"/>
      <c r="E671" s="45"/>
      <c r="F671" s="44"/>
      <c r="G671" s="45"/>
      <c r="I671" s="45"/>
      <c r="K671" s="45"/>
      <c r="M671" s="45"/>
      <c r="O671" s="45"/>
      <c r="Q671" s="45"/>
      <c r="W671" s="45"/>
      <c r="Y671" s="45"/>
      <c r="AA671" s="45"/>
      <c r="AE671" s="45"/>
      <c r="AG671" s="45"/>
      <c r="AI671" s="45"/>
      <c r="AK671" s="45"/>
      <c r="AM671" s="45"/>
    </row>
    <row r="672" spans="1:39" ht="12.75" customHeight="1">
      <c r="A672" s="24"/>
      <c r="C672" s="42"/>
      <c r="D672" s="73"/>
      <c r="E672" s="45"/>
      <c r="F672" s="44"/>
      <c r="G672" s="45"/>
      <c r="I672" s="45"/>
      <c r="K672" s="45"/>
      <c r="M672" s="45"/>
      <c r="O672" s="45"/>
      <c r="Q672" s="45"/>
      <c r="W672" s="45"/>
      <c r="Y672" s="45"/>
      <c r="AA672" s="45"/>
      <c r="AE672" s="45"/>
      <c r="AG672" s="45"/>
      <c r="AI672" s="45"/>
      <c r="AK672" s="45"/>
      <c r="AM672" s="45"/>
    </row>
    <row r="673" spans="1:39" ht="12.75" customHeight="1">
      <c r="A673" s="24"/>
      <c r="C673" s="42"/>
      <c r="D673" s="73"/>
      <c r="E673" s="45"/>
      <c r="F673" s="44"/>
      <c r="G673" s="45"/>
      <c r="I673" s="45"/>
      <c r="K673" s="45"/>
      <c r="M673" s="45"/>
      <c r="O673" s="45"/>
      <c r="Q673" s="45"/>
      <c r="W673" s="45"/>
      <c r="Y673" s="45"/>
      <c r="AA673" s="45"/>
      <c r="AE673" s="45"/>
      <c r="AG673" s="45"/>
      <c r="AI673" s="45"/>
      <c r="AK673" s="45"/>
      <c r="AM673" s="45"/>
    </row>
    <row r="674" spans="1:39" ht="12.75" customHeight="1">
      <c r="A674" s="24"/>
      <c r="C674" s="42"/>
      <c r="D674" s="73"/>
      <c r="E674" s="45"/>
      <c r="F674" s="44"/>
      <c r="G674" s="45"/>
      <c r="I674" s="45"/>
      <c r="K674" s="45"/>
      <c r="M674" s="45"/>
      <c r="O674" s="45"/>
      <c r="Q674" s="45"/>
      <c r="W674" s="45"/>
      <c r="Y674" s="45"/>
      <c r="AA674" s="45"/>
      <c r="AE674" s="45"/>
      <c r="AG674" s="45"/>
      <c r="AI674" s="45"/>
      <c r="AK674" s="45"/>
      <c r="AM674" s="45"/>
    </row>
    <row r="675" spans="1:39" ht="12.75" customHeight="1">
      <c r="A675" s="24"/>
      <c r="C675" s="42"/>
      <c r="D675" s="73"/>
      <c r="E675" s="45"/>
      <c r="F675" s="44"/>
      <c r="G675" s="45"/>
      <c r="I675" s="45"/>
      <c r="K675" s="45"/>
      <c r="M675" s="45"/>
      <c r="O675" s="45"/>
      <c r="Q675" s="45"/>
      <c r="W675" s="45"/>
      <c r="Y675" s="45"/>
      <c r="AA675" s="45"/>
      <c r="AE675" s="45"/>
      <c r="AG675" s="45"/>
      <c r="AI675" s="45"/>
      <c r="AK675" s="45"/>
      <c r="AM675" s="45"/>
    </row>
    <row r="676" spans="1:39" ht="12.75" customHeight="1">
      <c r="A676" s="24"/>
      <c r="C676" s="42"/>
      <c r="D676" s="73"/>
      <c r="E676" s="45"/>
      <c r="F676" s="44"/>
      <c r="G676" s="45"/>
      <c r="I676" s="45"/>
      <c r="K676" s="45"/>
      <c r="M676" s="45"/>
      <c r="O676" s="45"/>
      <c r="Q676" s="45"/>
      <c r="W676" s="45"/>
      <c r="Y676" s="45"/>
      <c r="AA676" s="45"/>
      <c r="AE676" s="45"/>
      <c r="AG676" s="45"/>
      <c r="AI676" s="45"/>
      <c r="AK676" s="45"/>
      <c r="AM676" s="45"/>
    </row>
    <row r="677" spans="1:39" ht="12.75" customHeight="1">
      <c r="A677" s="24"/>
      <c r="C677" s="42"/>
      <c r="D677" s="73"/>
      <c r="E677" s="45"/>
      <c r="F677" s="44"/>
      <c r="G677" s="45"/>
      <c r="I677" s="45"/>
      <c r="K677" s="45"/>
      <c r="M677" s="45"/>
      <c r="O677" s="45"/>
      <c r="Q677" s="45"/>
      <c r="W677" s="45"/>
      <c r="Y677" s="45"/>
      <c r="AA677" s="45"/>
      <c r="AE677" s="45"/>
      <c r="AG677" s="45"/>
      <c r="AI677" s="45"/>
      <c r="AK677" s="45"/>
      <c r="AM677" s="45"/>
    </row>
    <row r="678" spans="1:39" ht="12.75" customHeight="1">
      <c r="A678" s="24"/>
      <c r="C678" s="42"/>
      <c r="D678" s="73"/>
      <c r="E678" s="45"/>
      <c r="F678" s="44"/>
      <c r="G678" s="45"/>
      <c r="I678" s="45"/>
      <c r="K678" s="45"/>
      <c r="M678" s="45"/>
      <c r="O678" s="45"/>
      <c r="Q678" s="45"/>
      <c r="W678" s="45"/>
      <c r="Y678" s="45"/>
      <c r="AA678" s="45"/>
      <c r="AE678" s="45"/>
      <c r="AG678" s="45"/>
      <c r="AI678" s="45"/>
      <c r="AK678" s="45"/>
      <c r="AM678" s="45"/>
    </row>
    <row r="679" spans="1:39" ht="12.75" customHeight="1">
      <c r="A679" s="24"/>
      <c r="C679" s="42"/>
      <c r="D679" s="73"/>
      <c r="E679" s="45"/>
      <c r="F679" s="44"/>
      <c r="G679" s="45"/>
      <c r="I679" s="45"/>
      <c r="K679" s="45"/>
      <c r="M679" s="45"/>
      <c r="O679" s="45"/>
      <c r="Q679" s="45"/>
      <c r="W679" s="45"/>
      <c r="Y679" s="45"/>
      <c r="AA679" s="45"/>
      <c r="AE679" s="45"/>
      <c r="AG679" s="45"/>
      <c r="AI679" s="45"/>
      <c r="AK679" s="45"/>
      <c r="AM679" s="45"/>
    </row>
    <row r="680" spans="1:39" ht="12.75" customHeight="1">
      <c r="A680" s="24"/>
      <c r="C680" s="42"/>
      <c r="D680" s="73"/>
      <c r="E680" s="45"/>
      <c r="F680" s="44"/>
      <c r="G680" s="45"/>
      <c r="I680" s="45"/>
      <c r="K680" s="45"/>
      <c r="M680" s="45"/>
      <c r="O680" s="45"/>
      <c r="Q680" s="45"/>
      <c r="W680" s="45"/>
      <c r="Y680" s="45"/>
      <c r="AA680" s="45"/>
      <c r="AE680" s="45"/>
      <c r="AG680" s="45"/>
      <c r="AI680" s="45"/>
      <c r="AK680" s="45"/>
      <c r="AM680" s="45"/>
    </row>
    <row r="681" spans="1:39" ht="12.75" customHeight="1">
      <c r="A681" s="24"/>
      <c r="C681" s="42"/>
      <c r="D681" s="73"/>
      <c r="E681" s="45"/>
      <c r="F681" s="44"/>
      <c r="G681" s="45"/>
      <c r="I681" s="45"/>
      <c r="K681" s="45"/>
      <c r="M681" s="45"/>
      <c r="O681" s="45"/>
      <c r="Q681" s="45"/>
      <c r="W681" s="45"/>
      <c r="Y681" s="45"/>
      <c r="AA681" s="45"/>
      <c r="AE681" s="45"/>
      <c r="AG681" s="45"/>
      <c r="AI681" s="45"/>
      <c r="AK681" s="45"/>
      <c r="AM681" s="45"/>
    </row>
    <row r="682" spans="1:39" ht="12.75" customHeight="1">
      <c r="A682" s="24"/>
      <c r="C682" s="42"/>
      <c r="D682" s="73"/>
      <c r="E682" s="45"/>
      <c r="F682" s="44"/>
      <c r="G682" s="45"/>
      <c r="I682" s="45"/>
      <c r="K682" s="45"/>
      <c r="M682" s="45"/>
      <c r="O682" s="45"/>
      <c r="Q682" s="45"/>
      <c r="W682" s="45"/>
      <c r="Y682" s="45"/>
      <c r="AA682" s="45"/>
      <c r="AE682" s="45"/>
      <c r="AG682" s="45"/>
      <c r="AI682" s="45"/>
      <c r="AK682" s="45"/>
      <c r="AM682" s="45"/>
    </row>
    <row r="683" spans="1:39" ht="12.75" customHeight="1">
      <c r="A683" s="24"/>
      <c r="C683" s="42"/>
      <c r="D683" s="73"/>
      <c r="E683" s="45"/>
      <c r="F683" s="44"/>
      <c r="G683" s="45"/>
      <c r="I683" s="45"/>
      <c r="K683" s="45"/>
      <c r="M683" s="45"/>
      <c r="O683" s="45"/>
      <c r="Q683" s="45"/>
      <c r="W683" s="45"/>
      <c r="Y683" s="45"/>
      <c r="AA683" s="45"/>
      <c r="AE683" s="45"/>
      <c r="AG683" s="45"/>
      <c r="AI683" s="45"/>
      <c r="AK683" s="45"/>
      <c r="AM683" s="45"/>
    </row>
    <row r="684" spans="1:39" ht="12.75" customHeight="1">
      <c r="A684" s="24"/>
      <c r="C684" s="42"/>
      <c r="D684" s="73"/>
      <c r="E684" s="45"/>
      <c r="F684" s="44"/>
      <c r="G684" s="45"/>
      <c r="I684" s="45"/>
      <c r="K684" s="45"/>
      <c r="M684" s="45"/>
      <c r="O684" s="45"/>
      <c r="Q684" s="45"/>
      <c r="W684" s="45"/>
      <c r="Y684" s="45"/>
      <c r="AA684" s="45"/>
      <c r="AE684" s="45"/>
      <c r="AG684" s="45"/>
      <c r="AI684" s="45"/>
      <c r="AK684" s="45"/>
      <c r="AM684" s="45"/>
    </row>
    <row r="685" spans="1:39" ht="12.75" customHeight="1">
      <c r="A685" s="24"/>
      <c r="C685" s="42"/>
      <c r="D685" s="73"/>
      <c r="E685" s="45"/>
      <c r="F685" s="44"/>
      <c r="G685" s="45"/>
      <c r="I685" s="45"/>
      <c r="K685" s="45"/>
      <c r="M685" s="45"/>
      <c r="O685" s="45"/>
      <c r="Q685" s="45"/>
      <c r="W685" s="45"/>
      <c r="Y685" s="45"/>
      <c r="AA685" s="45"/>
      <c r="AE685" s="45"/>
      <c r="AG685" s="45"/>
      <c r="AI685" s="45"/>
      <c r="AK685" s="45"/>
      <c r="AM685" s="45"/>
    </row>
    <row r="686" spans="1:39" ht="12.75" customHeight="1">
      <c r="A686" s="24"/>
      <c r="C686" s="42"/>
      <c r="D686" s="73"/>
      <c r="E686" s="45"/>
      <c r="F686" s="44"/>
      <c r="G686" s="45"/>
      <c r="I686" s="45"/>
      <c r="K686" s="45"/>
      <c r="M686" s="45"/>
      <c r="O686" s="45"/>
      <c r="Q686" s="45"/>
      <c r="W686" s="45"/>
      <c r="Y686" s="45"/>
      <c r="AA686" s="45"/>
      <c r="AE686" s="45"/>
      <c r="AG686" s="45"/>
      <c r="AI686" s="45"/>
      <c r="AK686" s="45"/>
      <c r="AM686" s="45"/>
    </row>
    <row r="687" spans="1:39" ht="12.75" customHeight="1">
      <c r="A687" s="24"/>
      <c r="C687" s="42"/>
      <c r="D687" s="73"/>
      <c r="E687" s="45"/>
      <c r="F687" s="44"/>
      <c r="G687" s="45"/>
      <c r="I687" s="45"/>
      <c r="K687" s="45"/>
      <c r="M687" s="45"/>
      <c r="O687" s="45"/>
      <c r="Q687" s="45"/>
      <c r="W687" s="45"/>
      <c r="Y687" s="45"/>
      <c r="AA687" s="45"/>
      <c r="AE687" s="45"/>
      <c r="AG687" s="45"/>
      <c r="AI687" s="45"/>
      <c r="AK687" s="45"/>
      <c r="AM687" s="45"/>
    </row>
    <row r="688" spans="1:39" ht="12.75" customHeight="1">
      <c r="A688" s="24"/>
      <c r="C688" s="42"/>
      <c r="D688" s="73"/>
      <c r="E688" s="45"/>
      <c r="F688" s="44"/>
      <c r="G688" s="45"/>
      <c r="I688" s="45"/>
      <c r="K688" s="45"/>
      <c r="M688" s="45"/>
      <c r="O688" s="45"/>
      <c r="Q688" s="45"/>
      <c r="W688" s="45"/>
      <c r="Y688" s="45"/>
      <c r="AA688" s="45"/>
      <c r="AE688" s="45"/>
      <c r="AG688" s="45"/>
      <c r="AI688" s="45"/>
      <c r="AK688" s="45"/>
      <c r="AM688" s="45"/>
    </row>
    <row r="689" spans="1:39" ht="12.75" customHeight="1">
      <c r="A689" s="24"/>
      <c r="C689" s="42"/>
      <c r="D689" s="73"/>
      <c r="E689" s="45"/>
      <c r="F689" s="44"/>
      <c r="G689" s="45"/>
      <c r="I689" s="45"/>
      <c r="K689" s="45"/>
      <c r="M689" s="45"/>
      <c r="O689" s="45"/>
      <c r="Q689" s="45"/>
      <c r="W689" s="45"/>
      <c r="Y689" s="45"/>
      <c r="AA689" s="45"/>
      <c r="AE689" s="45"/>
      <c r="AG689" s="45"/>
      <c r="AI689" s="45"/>
      <c r="AK689" s="45"/>
      <c r="AM689" s="45"/>
    </row>
    <row r="690" spans="1:39" ht="12.75" customHeight="1">
      <c r="A690" s="24"/>
      <c r="C690" s="42"/>
      <c r="D690" s="73"/>
      <c r="E690" s="45"/>
      <c r="F690" s="44"/>
      <c r="G690" s="45"/>
      <c r="I690" s="45"/>
      <c r="K690" s="45"/>
      <c r="M690" s="45"/>
      <c r="O690" s="45"/>
      <c r="Q690" s="45"/>
      <c r="W690" s="45"/>
      <c r="Y690" s="45"/>
      <c r="AA690" s="45"/>
      <c r="AE690" s="45"/>
      <c r="AG690" s="45"/>
      <c r="AI690" s="45"/>
      <c r="AK690" s="45"/>
      <c r="AM690" s="45"/>
    </row>
    <row r="691" spans="1:39" ht="12.75" customHeight="1">
      <c r="A691" s="24"/>
      <c r="C691" s="42"/>
      <c r="D691" s="73"/>
      <c r="E691" s="45"/>
      <c r="F691" s="44"/>
      <c r="G691" s="45"/>
      <c r="I691" s="45"/>
      <c r="K691" s="45"/>
      <c r="M691" s="45"/>
      <c r="O691" s="45"/>
      <c r="Q691" s="45"/>
      <c r="W691" s="45"/>
      <c r="Y691" s="45"/>
      <c r="AA691" s="45"/>
      <c r="AE691" s="45"/>
      <c r="AG691" s="45"/>
      <c r="AI691" s="45"/>
      <c r="AK691" s="45"/>
      <c r="AM691" s="45"/>
    </row>
    <row r="692" spans="1:39" ht="12.75" customHeight="1">
      <c r="A692" s="24"/>
      <c r="C692" s="42"/>
      <c r="D692" s="73"/>
      <c r="E692" s="45"/>
      <c r="F692" s="44"/>
      <c r="G692" s="45"/>
      <c r="I692" s="45"/>
      <c r="K692" s="45"/>
      <c r="M692" s="45"/>
      <c r="O692" s="45"/>
      <c r="Q692" s="45"/>
      <c r="W692" s="45"/>
      <c r="Y692" s="45"/>
      <c r="AA692" s="45"/>
      <c r="AE692" s="45"/>
      <c r="AG692" s="45"/>
      <c r="AI692" s="45"/>
      <c r="AK692" s="45"/>
      <c r="AM692" s="45"/>
    </row>
    <row r="693" spans="1:39" ht="12.75" customHeight="1">
      <c r="A693" s="24"/>
      <c r="C693" s="42"/>
      <c r="D693" s="73"/>
      <c r="E693" s="45"/>
      <c r="F693" s="44"/>
      <c r="G693" s="45"/>
      <c r="I693" s="45"/>
      <c r="K693" s="45"/>
      <c r="M693" s="45"/>
      <c r="O693" s="45"/>
      <c r="Q693" s="45"/>
      <c r="W693" s="45"/>
      <c r="Y693" s="45"/>
      <c r="AA693" s="45"/>
      <c r="AE693" s="45"/>
      <c r="AG693" s="45"/>
      <c r="AI693" s="45"/>
      <c r="AK693" s="45"/>
      <c r="AM693" s="45"/>
    </row>
    <row r="694" spans="1:39" ht="12.75" customHeight="1">
      <c r="A694" s="24"/>
      <c r="C694" s="42"/>
      <c r="D694" s="73"/>
      <c r="E694" s="45"/>
      <c r="F694" s="44"/>
      <c r="G694" s="45"/>
      <c r="I694" s="45"/>
      <c r="K694" s="45"/>
      <c r="M694" s="45"/>
      <c r="O694" s="45"/>
      <c r="Q694" s="45"/>
      <c r="W694" s="45"/>
      <c r="Y694" s="45"/>
      <c r="AA694" s="45"/>
      <c r="AE694" s="45"/>
      <c r="AG694" s="45"/>
      <c r="AI694" s="45"/>
      <c r="AK694" s="45"/>
      <c r="AM694" s="45"/>
    </row>
    <row r="695" spans="1:39" ht="12.75" customHeight="1">
      <c r="A695" s="24"/>
      <c r="C695" s="42"/>
      <c r="D695" s="73"/>
      <c r="E695" s="45"/>
      <c r="F695" s="44"/>
      <c r="G695" s="45"/>
      <c r="I695" s="45"/>
      <c r="K695" s="45"/>
      <c r="M695" s="45"/>
      <c r="O695" s="45"/>
      <c r="Q695" s="45"/>
      <c r="W695" s="45"/>
      <c r="Y695" s="45"/>
      <c r="AA695" s="45"/>
      <c r="AE695" s="45"/>
      <c r="AG695" s="45"/>
      <c r="AI695" s="45"/>
      <c r="AK695" s="45"/>
      <c r="AM695" s="45"/>
    </row>
    <row r="696" spans="1:39" ht="12.75" customHeight="1">
      <c r="A696" s="24"/>
      <c r="C696" s="42"/>
      <c r="D696" s="73"/>
      <c r="E696" s="45"/>
      <c r="F696" s="44"/>
      <c r="G696" s="45"/>
      <c r="I696" s="45"/>
      <c r="K696" s="45"/>
      <c r="M696" s="45"/>
      <c r="O696" s="45"/>
      <c r="Q696" s="45"/>
      <c r="W696" s="45"/>
      <c r="Y696" s="45"/>
      <c r="AA696" s="45"/>
      <c r="AE696" s="45"/>
      <c r="AG696" s="45"/>
      <c r="AI696" s="45"/>
      <c r="AK696" s="45"/>
      <c r="AM696" s="45"/>
    </row>
    <row r="697" spans="1:39" ht="12.75" customHeight="1">
      <c r="A697" s="24"/>
      <c r="C697" s="42"/>
      <c r="D697" s="73"/>
      <c r="E697" s="45"/>
      <c r="F697" s="44"/>
      <c r="G697" s="45"/>
      <c r="I697" s="45"/>
      <c r="K697" s="45"/>
      <c r="M697" s="45"/>
      <c r="O697" s="45"/>
      <c r="Q697" s="45"/>
      <c r="W697" s="45"/>
      <c r="Y697" s="45"/>
      <c r="AA697" s="45"/>
      <c r="AE697" s="45"/>
      <c r="AG697" s="45"/>
      <c r="AI697" s="45"/>
      <c r="AK697" s="45"/>
      <c r="AM697" s="45"/>
    </row>
    <row r="698" spans="1:39" ht="12.75" customHeight="1">
      <c r="A698" s="24"/>
      <c r="C698" s="42"/>
      <c r="D698" s="73"/>
      <c r="E698" s="45"/>
      <c r="F698" s="44"/>
      <c r="G698" s="45"/>
      <c r="I698" s="45"/>
      <c r="K698" s="45"/>
      <c r="M698" s="45"/>
      <c r="O698" s="45"/>
      <c r="Q698" s="45"/>
      <c r="W698" s="45"/>
      <c r="Y698" s="45"/>
      <c r="AA698" s="45"/>
      <c r="AE698" s="45"/>
      <c r="AG698" s="45"/>
      <c r="AI698" s="45"/>
      <c r="AK698" s="45"/>
      <c r="AM698" s="45"/>
    </row>
    <row r="699" spans="1:39" ht="12.75" customHeight="1">
      <c r="A699" s="24"/>
      <c r="C699" s="42"/>
      <c r="D699" s="73"/>
      <c r="E699" s="45"/>
      <c r="F699" s="44"/>
      <c r="G699" s="45"/>
      <c r="I699" s="45"/>
      <c r="K699" s="45"/>
      <c r="M699" s="45"/>
      <c r="O699" s="45"/>
      <c r="Q699" s="45"/>
      <c r="W699" s="45"/>
      <c r="Y699" s="45"/>
      <c r="AA699" s="45"/>
      <c r="AE699" s="45"/>
      <c r="AG699" s="45"/>
      <c r="AI699" s="45"/>
      <c r="AK699" s="45"/>
      <c r="AM699" s="45"/>
    </row>
    <row r="700" spans="1:39" ht="12.75" customHeight="1">
      <c r="A700" s="24"/>
      <c r="C700" s="42"/>
      <c r="D700" s="73"/>
      <c r="E700" s="45"/>
      <c r="F700" s="44"/>
      <c r="G700" s="45"/>
      <c r="I700" s="45"/>
      <c r="K700" s="45"/>
      <c r="M700" s="45"/>
      <c r="O700" s="45"/>
      <c r="Q700" s="45"/>
      <c r="W700" s="45"/>
      <c r="Y700" s="45"/>
      <c r="AA700" s="45"/>
      <c r="AE700" s="45"/>
      <c r="AG700" s="45"/>
      <c r="AI700" s="45"/>
      <c r="AK700" s="45"/>
      <c r="AM700" s="45"/>
    </row>
    <row r="701" spans="1:39" ht="12.75" customHeight="1">
      <c r="A701" s="24"/>
      <c r="C701" s="42"/>
      <c r="D701" s="73"/>
      <c r="E701" s="45"/>
      <c r="F701" s="44"/>
      <c r="G701" s="45"/>
      <c r="I701" s="45"/>
      <c r="K701" s="45"/>
      <c r="M701" s="45"/>
      <c r="O701" s="45"/>
      <c r="Q701" s="45"/>
      <c r="W701" s="45"/>
      <c r="Y701" s="45"/>
      <c r="AA701" s="45"/>
      <c r="AE701" s="45"/>
      <c r="AG701" s="45"/>
      <c r="AI701" s="45"/>
      <c r="AK701" s="45"/>
      <c r="AM701" s="45"/>
    </row>
    <row r="702" spans="1:39" ht="12.75" customHeight="1">
      <c r="A702" s="24"/>
      <c r="C702" s="42"/>
      <c r="D702" s="73"/>
      <c r="E702" s="45"/>
      <c r="F702" s="44"/>
      <c r="G702" s="45"/>
      <c r="I702" s="45"/>
      <c r="K702" s="45"/>
      <c r="M702" s="45"/>
      <c r="O702" s="45"/>
      <c r="Q702" s="45"/>
      <c r="W702" s="45"/>
      <c r="Y702" s="45"/>
      <c r="AA702" s="45"/>
      <c r="AE702" s="45"/>
      <c r="AG702" s="45"/>
      <c r="AI702" s="45"/>
      <c r="AK702" s="45"/>
      <c r="AM702" s="45"/>
    </row>
    <row r="703" spans="1:39" ht="12.75" customHeight="1">
      <c r="A703" s="24"/>
      <c r="C703" s="42"/>
      <c r="D703" s="73"/>
      <c r="E703" s="45"/>
      <c r="F703" s="44"/>
      <c r="G703" s="45"/>
      <c r="I703" s="45"/>
      <c r="K703" s="45"/>
      <c r="M703" s="45"/>
      <c r="O703" s="45"/>
      <c r="Q703" s="45"/>
      <c r="W703" s="45"/>
      <c r="Y703" s="45"/>
      <c r="AA703" s="45"/>
      <c r="AE703" s="45"/>
      <c r="AG703" s="45"/>
      <c r="AI703" s="45"/>
      <c r="AK703" s="45"/>
      <c r="AM703" s="45"/>
    </row>
    <row r="704" spans="1:39" ht="12.75" customHeight="1">
      <c r="A704" s="24"/>
      <c r="C704" s="42"/>
      <c r="D704" s="73"/>
      <c r="E704" s="45"/>
      <c r="F704" s="44"/>
      <c r="G704" s="45"/>
      <c r="I704" s="45"/>
      <c r="K704" s="45"/>
      <c r="M704" s="45"/>
      <c r="O704" s="45"/>
      <c r="Q704" s="45"/>
      <c r="W704" s="45"/>
      <c r="Y704" s="45"/>
      <c r="AA704" s="45"/>
      <c r="AE704" s="45"/>
      <c r="AG704" s="45"/>
      <c r="AI704" s="45"/>
      <c r="AK704" s="45"/>
      <c r="AM704" s="45"/>
    </row>
    <row r="705" spans="1:39" ht="12.75" customHeight="1">
      <c r="A705" s="24"/>
      <c r="C705" s="42"/>
      <c r="D705" s="73"/>
      <c r="E705" s="45"/>
      <c r="F705" s="44"/>
      <c r="G705" s="45"/>
      <c r="I705" s="45"/>
      <c r="K705" s="45"/>
      <c r="M705" s="45"/>
      <c r="O705" s="45"/>
      <c r="Q705" s="45"/>
      <c r="W705" s="45"/>
      <c r="Y705" s="45"/>
      <c r="AA705" s="45"/>
      <c r="AE705" s="45"/>
      <c r="AG705" s="45"/>
      <c r="AI705" s="45"/>
      <c r="AK705" s="45"/>
      <c r="AM705" s="45"/>
    </row>
    <row r="706" spans="1:39" ht="12.75" customHeight="1">
      <c r="A706" s="24"/>
      <c r="C706" s="42"/>
      <c r="D706" s="73"/>
      <c r="E706" s="45"/>
      <c r="F706" s="44"/>
      <c r="G706" s="45"/>
      <c r="I706" s="45"/>
      <c r="K706" s="45"/>
      <c r="M706" s="45"/>
      <c r="O706" s="45"/>
      <c r="Q706" s="45"/>
      <c r="W706" s="45"/>
      <c r="Y706" s="45"/>
      <c r="AA706" s="45"/>
      <c r="AE706" s="45"/>
      <c r="AG706" s="45"/>
      <c r="AI706" s="45"/>
      <c r="AK706" s="45"/>
      <c r="AM706" s="45"/>
    </row>
    <row r="707" spans="1:39" ht="12.75" customHeight="1">
      <c r="A707" s="24"/>
      <c r="C707" s="42"/>
      <c r="D707" s="73"/>
      <c r="E707" s="45"/>
      <c r="F707" s="44"/>
      <c r="G707" s="45"/>
      <c r="I707" s="45"/>
      <c r="K707" s="45"/>
      <c r="M707" s="45"/>
      <c r="O707" s="45"/>
      <c r="Q707" s="45"/>
      <c r="W707" s="45"/>
      <c r="Y707" s="45"/>
      <c r="AA707" s="45"/>
      <c r="AE707" s="45"/>
      <c r="AG707" s="45"/>
      <c r="AI707" s="45"/>
      <c r="AK707" s="45"/>
      <c r="AM707" s="45"/>
    </row>
    <row r="708" spans="1:39" ht="12.75" customHeight="1">
      <c r="A708" s="24"/>
      <c r="C708" s="42"/>
      <c r="D708" s="73"/>
      <c r="E708" s="45"/>
      <c r="F708" s="44"/>
      <c r="G708" s="45"/>
      <c r="I708" s="45"/>
      <c r="K708" s="45"/>
      <c r="M708" s="45"/>
      <c r="O708" s="45"/>
      <c r="Q708" s="45"/>
      <c r="W708" s="45"/>
      <c r="Y708" s="45"/>
      <c r="AA708" s="45"/>
      <c r="AE708" s="45"/>
      <c r="AG708" s="45"/>
      <c r="AI708" s="45"/>
      <c r="AK708" s="45"/>
      <c r="AM708" s="45"/>
    </row>
    <row r="709" spans="1:39" ht="12.75" customHeight="1">
      <c r="A709" s="24"/>
      <c r="C709" s="42"/>
      <c r="D709" s="73"/>
      <c r="E709" s="45"/>
      <c r="F709" s="44"/>
      <c r="G709" s="45"/>
      <c r="I709" s="45"/>
      <c r="K709" s="45"/>
      <c r="M709" s="45"/>
      <c r="O709" s="45"/>
      <c r="Q709" s="45"/>
      <c r="W709" s="45"/>
      <c r="Y709" s="45"/>
      <c r="AA709" s="45"/>
      <c r="AE709" s="45"/>
      <c r="AG709" s="45"/>
      <c r="AI709" s="45"/>
      <c r="AK709" s="45"/>
      <c r="AM709" s="45"/>
    </row>
    <row r="710" spans="1:39" ht="12.75" customHeight="1">
      <c r="A710" s="24"/>
      <c r="C710" s="42"/>
      <c r="D710" s="73"/>
      <c r="E710" s="45"/>
      <c r="F710" s="44"/>
      <c r="G710" s="45"/>
      <c r="I710" s="45"/>
      <c r="K710" s="45"/>
      <c r="M710" s="45"/>
      <c r="O710" s="45"/>
      <c r="Q710" s="45"/>
      <c r="W710" s="45"/>
      <c r="Y710" s="45"/>
      <c r="AA710" s="45"/>
      <c r="AE710" s="45"/>
      <c r="AG710" s="45"/>
      <c r="AI710" s="45"/>
      <c r="AK710" s="45"/>
      <c r="AM710" s="45"/>
    </row>
    <row r="711" spans="1:39" ht="12.75" customHeight="1">
      <c r="A711" s="24"/>
      <c r="C711" s="42"/>
      <c r="D711" s="73"/>
      <c r="E711" s="45"/>
      <c r="F711" s="44"/>
      <c r="G711" s="45"/>
      <c r="I711" s="45"/>
      <c r="K711" s="45"/>
      <c r="M711" s="45"/>
      <c r="O711" s="45"/>
      <c r="Q711" s="45"/>
      <c r="W711" s="45"/>
      <c r="Y711" s="45"/>
      <c r="AA711" s="45"/>
      <c r="AE711" s="45"/>
      <c r="AG711" s="45"/>
      <c r="AI711" s="45"/>
      <c r="AK711" s="45"/>
      <c r="AM711" s="45"/>
    </row>
    <row r="712" spans="1:39" ht="12.75" customHeight="1">
      <c r="A712" s="24"/>
      <c r="C712" s="42"/>
      <c r="D712" s="73"/>
      <c r="E712" s="45"/>
      <c r="F712" s="44"/>
      <c r="G712" s="45"/>
      <c r="I712" s="45"/>
      <c r="K712" s="45"/>
      <c r="M712" s="45"/>
      <c r="O712" s="45"/>
      <c r="Q712" s="45"/>
      <c r="W712" s="45"/>
      <c r="Y712" s="45"/>
      <c r="AA712" s="45"/>
      <c r="AE712" s="45"/>
      <c r="AG712" s="45"/>
      <c r="AI712" s="45"/>
      <c r="AK712" s="45"/>
      <c r="AM712" s="45"/>
    </row>
    <row r="713" spans="1:39" ht="12.75" customHeight="1">
      <c r="A713" s="24"/>
      <c r="C713" s="42"/>
      <c r="D713" s="73"/>
      <c r="E713" s="45"/>
      <c r="F713" s="44"/>
      <c r="G713" s="45"/>
      <c r="I713" s="45"/>
      <c r="K713" s="45"/>
      <c r="M713" s="45"/>
      <c r="O713" s="45"/>
      <c r="Q713" s="45"/>
      <c r="W713" s="45"/>
      <c r="Y713" s="45"/>
      <c r="AA713" s="45"/>
      <c r="AE713" s="45"/>
      <c r="AG713" s="45"/>
      <c r="AI713" s="45"/>
      <c r="AK713" s="45"/>
      <c r="AM713" s="45"/>
    </row>
    <row r="714" spans="1:39" ht="12.75" customHeight="1">
      <c r="A714" s="24"/>
      <c r="C714" s="42"/>
      <c r="D714" s="73"/>
      <c r="E714" s="45"/>
      <c r="F714" s="44"/>
      <c r="G714" s="45"/>
      <c r="I714" s="45"/>
      <c r="K714" s="45"/>
      <c r="M714" s="45"/>
      <c r="O714" s="45"/>
      <c r="Q714" s="45"/>
      <c r="W714" s="45"/>
      <c r="Y714" s="45"/>
      <c r="AA714" s="45"/>
      <c r="AE714" s="45"/>
      <c r="AG714" s="45"/>
      <c r="AI714" s="45"/>
      <c r="AK714" s="45"/>
      <c r="AM714" s="45"/>
    </row>
    <row r="715" spans="1:39" ht="12.75" customHeight="1">
      <c r="A715" s="24"/>
      <c r="C715" s="42"/>
      <c r="D715" s="73"/>
      <c r="E715" s="45"/>
      <c r="F715" s="44"/>
      <c r="G715" s="45"/>
      <c r="I715" s="45"/>
      <c r="K715" s="45"/>
      <c r="M715" s="45"/>
      <c r="O715" s="45"/>
      <c r="Q715" s="45"/>
      <c r="W715" s="45"/>
      <c r="Y715" s="45"/>
      <c r="AA715" s="45"/>
      <c r="AE715" s="45"/>
      <c r="AG715" s="45"/>
      <c r="AI715" s="45"/>
      <c r="AK715" s="45"/>
      <c r="AM715" s="45"/>
    </row>
    <row r="716" spans="1:39" ht="12.75" customHeight="1">
      <c r="A716" s="24"/>
      <c r="C716" s="42"/>
      <c r="D716" s="73"/>
      <c r="E716" s="45"/>
      <c r="F716" s="44"/>
      <c r="G716" s="45"/>
      <c r="I716" s="45"/>
      <c r="K716" s="45"/>
      <c r="M716" s="45"/>
      <c r="O716" s="45"/>
      <c r="Q716" s="45"/>
      <c r="W716" s="45"/>
      <c r="Y716" s="45"/>
      <c r="AA716" s="45"/>
      <c r="AE716" s="45"/>
      <c r="AG716" s="45"/>
      <c r="AI716" s="45"/>
      <c r="AK716" s="45"/>
      <c r="AM716" s="45"/>
    </row>
    <row r="717" spans="1:39" ht="12.75" customHeight="1">
      <c r="A717" s="24"/>
      <c r="C717" s="42"/>
      <c r="D717" s="73"/>
      <c r="E717" s="45"/>
      <c r="F717" s="44"/>
      <c r="G717" s="45"/>
      <c r="I717" s="45"/>
      <c r="K717" s="45"/>
      <c r="M717" s="45"/>
      <c r="O717" s="45"/>
      <c r="Q717" s="45"/>
      <c r="W717" s="45"/>
      <c r="Y717" s="45"/>
      <c r="AA717" s="45"/>
      <c r="AE717" s="45"/>
      <c r="AG717" s="45"/>
      <c r="AI717" s="45"/>
      <c r="AK717" s="45"/>
      <c r="AM717" s="45"/>
    </row>
    <row r="718" spans="1:39" ht="12.75" customHeight="1">
      <c r="A718" s="24"/>
      <c r="C718" s="42"/>
      <c r="D718" s="73"/>
      <c r="E718" s="45"/>
      <c r="F718" s="44"/>
      <c r="G718" s="45"/>
      <c r="I718" s="45"/>
      <c r="K718" s="45"/>
      <c r="M718" s="45"/>
      <c r="O718" s="45"/>
      <c r="Q718" s="45"/>
      <c r="W718" s="45"/>
      <c r="Y718" s="45"/>
      <c r="AA718" s="45"/>
      <c r="AE718" s="45"/>
      <c r="AG718" s="45"/>
      <c r="AI718" s="45"/>
      <c r="AK718" s="45"/>
      <c r="AM718" s="45"/>
    </row>
    <row r="719" spans="1:39" ht="12.75" customHeight="1">
      <c r="A719" s="24"/>
      <c r="C719" s="42"/>
      <c r="D719" s="73"/>
      <c r="E719" s="45"/>
      <c r="F719" s="44"/>
      <c r="G719" s="45"/>
      <c r="I719" s="45"/>
      <c r="K719" s="45"/>
      <c r="M719" s="45"/>
      <c r="O719" s="45"/>
      <c r="Q719" s="45"/>
      <c r="W719" s="45"/>
      <c r="Y719" s="45"/>
      <c r="AA719" s="45"/>
      <c r="AE719" s="45"/>
      <c r="AG719" s="45"/>
      <c r="AI719" s="45"/>
      <c r="AK719" s="45"/>
      <c r="AM719" s="45"/>
    </row>
    <row r="720" spans="1:39" ht="12.75" customHeight="1">
      <c r="A720" s="24"/>
      <c r="C720" s="42"/>
      <c r="D720" s="73"/>
      <c r="E720" s="45"/>
      <c r="F720" s="44"/>
      <c r="G720" s="45"/>
      <c r="I720" s="45"/>
      <c r="K720" s="45"/>
      <c r="M720" s="45"/>
      <c r="O720" s="45"/>
      <c r="Q720" s="45"/>
      <c r="W720" s="45"/>
      <c r="Y720" s="45"/>
      <c r="AA720" s="45"/>
      <c r="AE720" s="45"/>
      <c r="AG720" s="45"/>
      <c r="AI720" s="45"/>
      <c r="AK720" s="45"/>
      <c r="AM720" s="45"/>
    </row>
    <row r="721" spans="1:39" ht="12.75" customHeight="1">
      <c r="A721" s="24"/>
      <c r="C721" s="42"/>
      <c r="D721" s="73"/>
      <c r="E721" s="45"/>
      <c r="F721" s="44"/>
      <c r="G721" s="45"/>
      <c r="I721" s="45"/>
      <c r="K721" s="45"/>
      <c r="M721" s="45"/>
      <c r="O721" s="45"/>
      <c r="Q721" s="45"/>
      <c r="W721" s="45"/>
      <c r="Y721" s="45"/>
      <c r="AA721" s="45"/>
      <c r="AE721" s="45"/>
      <c r="AG721" s="45"/>
      <c r="AI721" s="45"/>
      <c r="AK721" s="45"/>
      <c r="AM721" s="45"/>
    </row>
    <row r="722" spans="1:39" ht="12.75" customHeight="1">
      <c r="A722" s="24"/>
      <c r="C722" s="42"/>
      <c r="D722" s="73"/>
      <c r="E722" s="45"/>
      <c r="F722" s="44"/>
      <c r="G722" s="45"/>
      <c r="I722" s="45"/>
      <c r="K722" s="45"/>
      <c r="M722" s="45"/>
      <c r="O722" s="45"/>
      <c r="Q722" s="45"/>
      <c r="W722" s="45"/>
      <c r="Y722" s="45"/>
      <c r="AA722" s="45"/>
      <c r="AE722" s="45"/>
      <c r="AG722" s="45"/>
      <c r="AI722" s="45"/>
      <c r="AK722" s="45"/>
      <c r="AM722" s="45"/>
    </row>
    <row r="723" spans="1:39" ht="12.75" customHeight="1">
      <c r="A723" s="24"/>
      <c r="C723" s="42"/>
      <c r="D723" s="73"/>
      <c r="E723" s="45"/>
      <c r="F723" s="44"/>
      <c r="G723" s="45"/>
      <c r="I723" s="45"/>
      <c r="K723" s="45"/>
      <c r="M723" s="45"/>
      <c r="O723" s="45"/>
      <c r="Q723" s="45"/>
      <c r="W723" s="45"/>
      <c r="Y723" s="45"/>
      <c r="AA723" s="45"/>
      <c r="AE723" s="45"/>
      <c r="AG723" s="45"/>
      <c r="AI723" s="45"/>
      <c r="AK723" s="45"/>
      <c r="AM723" s="45"/>
    </row>
    <row r="724" spans="1:39" ht="12.75" customHeight="1">
      <c r="A724" s="24"/>
      <c r="C724" s="42"/>
      <c r="D724" s="73"/>
      <c r="E724" s="45"/>
      <c r="F724" s="44"/>
      <c r="G724" s="45"/>
      <c r="I724" s="45"/>
      <c r="K724" s="45"/>
      <c r="M724" s="45"/>
      <c r="O724" s="45"/>
      <c r="Q724" s="45"/>
      <c r="W724" s="45"/>
      <c r="Y724" s="45"/>
      <c r="AA724" s="45"/>
      <c r="AE724" s="45"/>
      <c r="AG724" s="45"/>
      <c r="AI724" s="45"/>
      <c r="AK724" s="45"/>
      <c r="AM724" s="45"/>
    </row>
    <row r="725" spans="1:39" ht="12.75" customHeight="1">
      <c r="A725" s="24"/>
      <c r="C725" s="42"/>
      <c r="D725" s="73"/>
      <c r="E725" s="45"/>
      <c r="F725" s="44"/>
      <c r="G725" s="45"/>
      <c r="I725" s="45"/>
      <c r="K725" s="45"/>
      <c r="M725" s="45"/>
      <c r="O725" s="45"/>
      <c r="Q725" s="45"/>
      <c r="W725" s="45"/>
      <c r="Y725" s="45"/>
      <c r="AA725" s="45"/>
      <c r="AE725" s="45"/>
      <c r="AG725" s="45"/>
      <c r="AI725" s="45"/>
      <c r="AK725" s="45"/>
      <c r="AM725" s="45"/>
    </row>
    <row r="726" spans="1:39" ht="12.75" customHeight="1">
      <c r="A726" s="24"/>
      <c r="C726" s="42"/>
      <c r="D726" s="73"/>
      <c r="E726" s="45"/>
      <c r="F726" s="44"/>
      <c r="G726" s="45"/>
      <c r="I726" s="45"/>
      <c r="K726" s="45"/>
      <c r="M726" s="45"/>
      <c r="O726" s="45"/>
      <c r="Q726" s="45"/>
      <c r="W726" s="45"/>
      <c r="Y726" s="45"/>
      <c r="AA726" s="45"/>
      <c r="AE726" s="45"/>
      <c r="AG726" s="45"/>
      <c r="AI726" s="45"/>
      <c r="AK726" s="45"/>
      <c r="AM726" s="45"/>
    </row>
    <row r="727" spans="1:39" ht="12.75" customHeight="1">
      <c r="A727" s="24"/>
      <c r="C727" s="42"/>
      <c r="D727" s="73"/>
      <c r="E727" s="45"/>
      <c r="F727" s="44"/>
      <c r="G727" s="45"/>
      <c r="I727" s="45"/>
      <c r="K727" s="45"/>
      <c r="M727" s="45"/>
      <c r="O727" s="45"/>
      <c r="Q727" s="45"/>
      <c r="W727" s="45"/>
      <c r="Y727" s="45"/>
      <c r="AA727" s="45"/>
      <c r="AE727" s="45"/>
      <c r="AG727" s="45"/>
      <c r="AI727" s="45"/>
      <c r="AK727" s="45"/>
      <c r="AM727" s="45"/>
    </row>
    <row r="728" spans="1:39" ht="12.75" customHeight="1">
      <c r="A728" s="24"/>
      <c r="C728" s="42"/>
      <c r="D728" s="73"/>
      <c r="E728" s="45"/>
      <c r="F728" s="44"/>
      <c r="G728" s="45"/>
      <c r="I728" s="45"/>
      <c r="K728" s="45"/>
      <c r="M728" s="45"/>
      <c r="O728" s="45"/>
      <c r="Q728" s="45"/>
      <c r="W728" s="45"/>
      <c r="Y728" s="45"/>
      <c r="AA728" s="45"/>
      <c r="AE728" s="45"/>
      <c r="AG728" s="45"/>
      <c r="AI728" s="45"/>
      <c r="AK728" s="45"/>
      <c r="AM728" s="45"/>
    </row>
    <row r="729" spans="1:39" ht="12.75" customHeight="1">
      <c r="A729" s="24"/>
      <c r="C729" s="42"/>
      <c r="D729" s="73"/>
      <c r="E729" s="45"/>
      <c r="F729" s="44"/>
      <c r="G729" s="45"/>
      <c r="I729" s="45"/>
      <c r="K729" s="45"/>
      <c r="M729" s="45"/>
      <c r="O729" s="45"/>
      <c r="Q729" s="45"/>
      <c r="W729" s="45"/>
      <c r="Y729" s="45"/>
      <c r="AA729" s="45"/>
      <c r="AE729" s="45"/>
      <c r="AG729" s="45"/>
      <c r="AI729" s="45"/>
      <c r="AK729" s="45"/>
      <c r="AM729" s="45"/>
    </row>
    <row r="730" spans="1:39" ht="12.75" customHeight="1">
      <c r="A730" s="24"/>
      <c r="C730" s="42"/>
      <c r="D730" s="73"/>
      <c r="E730" s="45"/>
      <c r="F730" s="44"/>
      <c r="G730" s="45"/>
      <c r="I730" s="45"/>
      <c r="K730" s="45"/>
      <c r="M730" s="45"/>
      <c r="O730" s="45"/>
      <c r="Q730" s="45"/>
      <c r="W730" s="45"/>
      <c r="Y730" s="45"/>
      <c r="AA730" s="45"/>
      <c r="AE730" s="45"/>
      <c r="AG730" s="45"/>
      <c r="AI730" s="45"/>
      <c r="AK730" s="45"/>
      <c r="AM730" s="45"/>
    </row>
    <row r="731" spans="1:39" ht="12.75" customHeight="1">
      <c r="A731" s="24"/>
      <c r="C731" s="42"/>
      <c r="D731" s="73"/>
      <c r="E731" s="45"/>
      <c r="F731" s="44"/>
      <c r="G731" s="45"/>
      <c r="I731" s="45"/>
      <c r="K731" s="45"/>
      <c r="M731" s="45"/>
      <c r="O731" s="45"/>
      <c r="Q731" s="45"/>
      <c r="W731" s="45"/>
      <c r="Y731" s="45"/>
      <c r="AA731" s="45"/>
      <c r="AE731" s="45"/>
      <c r="AG731" s="45"/>
      <c r="AI731" s="45"/>
      <c r="AK731" s="45"/>
      <c r="AM731" s="45"/>
    </row>
    <row r="732" spans="1:39" ht="12.75" customHeight="1">
      <c r="A732" s="24"/>
      <c r="C732" s="42"/>
      <c r="D732" s="73"/>
      <c r="E732" s="45"/>
      <c r="F732" s="44"/>
      <c r="G732" s="45"/>
      <c r="I732" s="45"/>
      <c r="K732" s="45"/>
      <c r="M732" s="45"/>
      <c r="O732" s="45"/>
      <c r="Q732" s="45"/>
      <c r="W732" s="45"/>
      <c r="Y732" s="45"/>
      <c r="AA732" s="45"/>
      <c r="AE732" s="45"/>
      <c r="AG732" s="45"/>
      <c r="AI732" s="45"/>
      <c r="AK732" s="45"/>
      <c r="AM732" s="45"/>
    </row>
    <row r="733" spans="1:39" ht="12.75" customHeight="1">
      <c r="A733" s="24"/>
      <c r="C733" s="42"/>
      <c r="D733" s="73"/>
      <c r="E733" s="45"/>
      <c r="F733" s="44"/>
      <c r="G733" s="45"/>
      <c r="I733" s="45"/>
      <c r="K733" s="45"/>
      <c r="M733" s="45"/>
      <c r="O733" s="45"/>
      <c r="Q733" s="45"/>
      <c r="W733" s="45"/>
      <c r="Y733" s="45"/>
      <c r="AA733" s="45"/>
      <c r="AE733" s="45"/>
      <c r="AG733" s="45"/>
      <c r="AI733" s="45"/>
      <c r="AK733" s="45"/>
      <c r="AM733" s="45"/>
    </row>
    <row r="734" spans="1:39" ht="12.75" customHeight="1">
      <c r="A734" s="24"/>
      <c r="C734" s="42"/>
      <c r="D734" s="73"/>
      <c r="E734" s="45"/>
      <c r="F734" s="44"/>
      <c r="G734" s="45"/>
      <c r="I734" s="45"/>
      <c r="K734" s="45"/>
      <c r="M734" s="45"/>
      <c r="O734" s="45"/>
      <c r="Q734" s="45"/>
      <c r="W734" s="45"/>
      <c r="Y734" s="45"/>
      <c r="AA734" s="45"/>
      <c r="AE734" s="45"/>
      <c r="AG734" s="45"/>
      <c r="AI734" s="45"/>
      <c r="AK734" s="45"/>
      <c r="AM734" s="45"/>
    </row>
    <row r="735" spans="1:39" ht="12.75" customHeight="1">
      <c r="A735" s="24"/>
      <c r="C735" s="42"/>
      <c r="D735" s="73"/>
      <c r="E735" s="45"/>
      <c r="F735" s="44"/>
      <c r="G735" s="45"/>
      <c r="I735" s="45"/>
      <c r="K735" s="45"/>
      <c r="M735" s="45"/>
      <c r="O735" s="45"/>
      <c r="Q735" s="45"/>
      <c r="W735" s="45"/>
      <c r="Y735" s="45"/>
      <c r="AA735" s="45"/>
      <c r="AE735" s="45"/>
      <c r="AG735" s="45"/>
      <c r="AI735" s="45"/>
      <c r="AK735" s="45"/>
      <c r="AM735" s="45"/>
    </row>
    <row r="736" spans="1:39" ht="12.75" customHeight="1">
      <c r="A736" s="24"/>
      <c r="C736" s="42"/>
      <c r="D736" s="73"/>
      <c r="E736" s="45"/>
      <c r="F736" s="44"/>
      <c r="G736" s="45"/>
      <c r="I736" s="45"/>
      <c r="K736" s="45"/>
      <c r="M736" s="45"/>
      <c r="O736" s="45"/>
      <c r="Q736" s="45"/>
      <c r="W736" s="45"/>
      <c r="Y736" s="45"/>
      <c r="AA736" s="45"/>
      <c r="AE736" s="45"/>
      <c r="AG736" s="45"/>
      <c r="AI736" s="45"/>
      <c r="AK736" s="45"/>
      <c r="AM736" s="45"/>
    </row>
    <row r="737" spans="1:39" ht="12.75" customHeight="1">
      <c r="A737" s="24"/>
      <c r="C737" s="42"/>
      <c r="D737" s="73"/>
      <c r="E737" s="45"/>
      <c r="F737" s="44"/>
      <c r="G737" s="45"/>
      <c r="I737" s="45"/>
      <c r="K737" s="45"/>
      <c r="M737" s="45"/>
      <c r="O737" s="45"/>
      <c r="Q737" s="45"/>
      <c r="W737" s="45"/>
      <c r="Y737" s="45"/>
      <c r="AA737" s="45"/>
      <c r="AE737" s="45"/>
      <c r="AG737" s="45"/>
      <c r="AI737" s="45"/>
      <c r="AK737" s="45"/>
      <c r="AM737" s="45"/>
    </row>
    <row r="738" spans="1:39" ht="12.75" customHeight="1">
      <c r="A738" s="24"/>
      <c r="C738" s="42"/>
      <c r="D738" s="73"/>
      <c r="E738" s="45"/>
      <c r="F738" s="44"/>
      <c r="G738" s="45"/>
      <c r="I738" s="45"/>
      <c r="K738" s="45"/>
      <c r="M738" s="45"/>
      <c r="O738" s="45"/>
      <c r="Q738" s="45"/>
      <c r="W738" s="45"/>
      <c r="Y738" s="45"/>
      <c r="AA738" s="45"/>
      <c r="AE738" s="45"/>
      <c r="AG738" s="45"/>
      <c r="AI738" s="45"/>
      <c r="AK738" s="45"/>
      <c r="AM738" s="45"/>
    </row>
    <row r="739" spans="1:39" ht="12.75" customHeight="1">
      <c r="A739" s="24"/>
      <c r="C739" s="42"/>
      <c r="D739" s="73"/>
      <c r="E739" s="45"/>
      <c r="F739" s="44"/>
      <c r="G739" s="45"/>
      <c r="I739" s="45"/>
      <c r="K739" s="45"/>
      <c r="M739" s="45"/>
      <c r="O739" s="45"/>
      <c r="Q739" s="45"/>
      <c r="W739" s="45"/>
      <c r="Y739" s="45"/>
      <c r="AA739" s="45"/>
      <c r="AE739" s="45"/>
      <c r="AG739" s="45"/>
      <c r="AI739" s="45"/>
      <c r="AK739" s="45"/>
      <c r="AM739" s="45"/>
    </row>
    <row r="740" spans="1:39" ht="12.75" customHeight="1">
      <c r="A740" s="24"/>
      <c r="C740" s="42"/>
      <c r="D740" s="73"/>
      <c r="E740" s="45"/>
      <c r="F740" s="44"/>
      <c r="G740" s="45"/>
      <c r="I740" s="45"/>
      <c r="K740" s="45"/>
      <c r="M740" s="45"/>
      <c r="O740" s="45"/>
      <c r="Q740" s="45"/>
      <c r="W740" s="45"/>
      <c r="Y740" s="45"/>
      <c r="AA740" s="45"/>
      <c r="AE740" s="45"/>
      <c r="AG740" s="45"/>
      <c r="AI740" s="45"/>
      <c r="AK740" s="45"/>
      <c r="AM740" s="45"/>
    </row>
    <row r="741" spans="1:39" ht="12.75" customHeight="1">
      <c r="A741" s="24"/>
      <c r="C741" s="42"/>
      <c r="D741" s="73"/>
      <c r="E741" s="45"/>
      <c r="F741" s="44"/>
      <c r="G741" s="45"/>
      <c r="I741" s="45"/>
      <c r="K741" s="45"/>
      <c r="M741" s="45"/>
      <c r="O741" s="45"/>
      <c r="Q741" s="45"/>
      <c r="W741" s="45"/>
      <c r="Y741" s="45"/>
      <c r="AA741" s="45"/>
      <c r="AE741" s="45"/>
      <c r="AG741" s="45"/>
      <c r="AI741" s="45"/>
      <c r="AK741" s="45"/>
      <c r="AM741" s="45"/>
    </row>
    <row r="742" spans="1:39" ht="12.75" customHeight="1">
      <c r="A742" s="24"/>
      <c r="C742" s="42"/>
      <c r="D742" s="73"/>
      <c r="E742" s="45"/>
      <c r="F742" s="44"/>
      <c r="G742" s="45"/>
      <c r="I742" s="45"/>
      <c r="K742" s="45"/>
      <c r="M742" s="45"/>
      <c r="O742" s="45"/>
      <c r="Q742" s="45"/>
      <c r="W742" s="45"/>
      <c r="Y742" s="45"/>
      <c r="AA742" s="45"/>
      <c r="AE742" s="45"/>
      <c r="AG742" s="45"/>
      <c r="AI742" s="45"/>
      <c r="AK742" s="45"/>
      <c r="AM742" s="45"/>
    </row>
    <row r="743" spans="1:39" ht="12.75" customHeight="1">
      <c r="A743" s="24"/>
      <c r="C743" s="42"/>
      <c r="D743" s="73"/>
      <c r="E743" s="45"/>
      <c r="F743" s="44"/>
      <c r="G743" s="45"/>
      <c r="I743" s="45"/>
      <c r="K743" s="45"/>
      <c r="M743" s="45"/>
      <c r="O743" s="45"/>
      <c r="Q743" s="45"/>
      <c r="W743" s="45"/>
      <c r="Y743" s="45"/>
      <c r="AA743" s="45"/>
      <c r="AE743" s="45"/>
      <c r="AG743" s="45"/>
      <c r="AI743" s="45"/>
      <c r="AK743" s="45"/>
      <c r="AM743" s="45"/>
    </row>
    <row r="744" spans="1:39" ht="12.75" customHeight="1">
      <c r="A744" s="24"/>
      <c r="C744" s="42"/>
      <c r="D744" s="73"/>
      <c r="E744" s="45"/>
      <c r="F744" s="44"/>
      <c r="G744" s="45"/>
      <c r="I744" s="45"/>
      <c r="K744" s="45"/>
      <c r="M744" s="45"/>
      <c r="O744" s="45"/>
      <c r="Q744" s="45"/>
      <c r="W744" s="45"/>
      <c r="Y744" s="45"/>
      <c r="AA744" s="45"/>
      <c r="AE744" s="45"/>
      <c r="AG744" s="45"/>
      <c r="AI744" s="45"/>
      <c r="AK744" s="45"/>
      <c r="AM744" s="45"/>
    </row>
    <row r="745" spans="1:39" ht="12.75" customHeight="1">
      <c r="A745" s="24"/>
      <c r="C745" s="42"/>
      <c r="D745" s="73"/>
      <c r="E745" s="45"/>
      <c r="F745" s="44"/>
      <c r="G745" s="45"/>
      <c r="I745" s="45"/>
      <c r="K745" s="45"/>
      <c r="M745" s="45"/>
      <c r="O745" s="45"/>
      <c r="Q745" s="45"/>
      <c r="W745" s="45"/>
      <c r="Y745" s="45"/>
      <c r="AA745" s="45"/>
      <c r="AE745" s="45"/>
      <c r="AG745" s="45"/>
      <c r="AI745" s="45"/>
      <c r="AK745" s="45"/>
      <c r="AM745" s="45"/>
    </row>
    <row r="746" spans="1:39" ht="12.75" customHeight="1">
      <c r="A746" s="24"/>
      <c r="C746" s="42"/>
      <c r="D746" s="73"/>
      <c r="E746" s="45"/>
      <c r="F746" s="44"/>
      <c r="G746" s="45"/>
      <c r="I746" s="45"/>
      <c r="K746" s="45"/>
      <c r="M746" s="45"/>
      <c r="O746" s="45"/>
      <c r="Q746" s="45"/>
      <c r="W746" s="45"/>
      <c r="Y746" s="45"/>
      <c r="AA746" s="45"/>
      <c r="AE746" s="45"/>
      <c r="AG746" s="45"/>
      <c r="AI746" s="45"/>
      <c r="AK746" s="45"/>
      <c r="AM746" s="45"/>
    </row>
    <row r="747" spans="1:39" ht="12.75" customHeight="1">
      <c r="A747" s="24"/>
      <c r="C747" s="42"/>
      <c r="D747" s="73"/>
      <c r="E747" s="45"/>
      <c r="F747" s="44"/>
      <c r="G747" s="45"/>
      <c r="I747" s="45"/>
      <c r="K747" s="45"/>
      <c r="M747" s="45"/>
      <c r="O747" s="45"/>
      <c r="Q747" s="45"/>
      <c r="W747" s="45"/>
      <c r="Y747" s="45"/>
      <c r="AA747" s="45"/>
      <c r="AE747" s="45"/>
      <c r="AG747" s="45"/>
      <c r="AI747" s="45"/>
      <c r="AK747" s="45"/>
      <c r="AM747" s="45"/>
    </row>
    <row r="748" spans="1:39" ht="12.75" customHeight="1">
      <c r="A748" s="24"/>
      <c r="C748" s="42"/>
      <c r="D748" s="73"/>
      <c r="E748" s="45"/>
      <c r="F748" s="44"/>
      <c r="G748" s="45"/>
      <c r="I748" s="45"/>
      <c r="K748" s="45"/>
      <c r="M748" s="45"/>
      <c r="O748" s="45"/>
      <c r="Q748" s="45"/>
      <c r="W748" s="45"/>
      <c r="Y748" s="45"/>
      <c r="AA748" s="45"/>
      <c r="AE748" s="45"/>
      <c r="AG748" s="45"/>
      <c r="AI748" s="45"/>
      <c r="AK748" s="45"/>
      <c r="AM748" s="45"/>
    </row>
    <row r="749" spans="1:39" ht="12.75" customHeight="1">
      <c r="A749" s="24"/>
      <c r="C749" s="42"/>
      <c r="D749" s="73"/>
      <c r="E749" s="45"/>
      <c r="F749" s="44"/>
      <c r="G749" s="45"/>
      <c r="I749" s="45"/>
      <c r="K749" s="45"/>
      <c r="M749" s="45"/>
      <c r="O749" s="45"/>
      <c r="Q749" s="45"/>
      <c r="W749" s="45"/>
      <c r="Y749" s="45"/>
      <c r="AA749" s="45"/>
      <c r="AE749" s="45"/>
      <c r="AG749" s="45"/>
      <c r="AI749" s="45"/>
      <c r="AK749" s="45"/>
      <c r="AM749" s="45"/>
    </row>
    <row r="750" spans="1:39" ht="12.75" customHeight="1">
      <c r="A750" s="24"/>
      <c r="C750" s="42"/>
      <c r="D750" s="73"/>
      <c r="E750" s="45"/>
      <c r="F750" s="44"/>
      <c r="G750" s="45"/>
      <c r="I750" s="45"/>
      <c r="K750" s="45"/>
      <c r="M750" s="45"/>
      <c r="O750" s="45"/>
      <c r="Q750" s="45"/>
      <c r="W750" s="45"/>
      <c r="Y750" s="45"/>
      <c r="AA750" s="45"/>
      <c r="AE750" s="45"/>
      <c r="AG750" s="45"/>
      <c r="AI750" s="45"/>
      <c r="AK750" s="45"/>
      <c r="AM750" s="45"/>
    </row>
    <row r="751" spans="1:39" ht="12.75" customHeight="1">
      <c r="A751" s="24"/>
      <c r="C751" s="42"/>
      <c r="D751" s="73"/>
      <c r="E751" s="45"/>
      <c r="F751" s="44"/>
      <c r="G751" s="45"/>
      <c r="I751" s="45"/>
      <c r="K751" s="45"/>
      <c r="M751" s="45"/>
      <c r="O751" s="45"/>
      <c r="Q751" s="45"/>
      <c r="W751" s="45"/>
      <c r="Y751" s="45"/>
      <c r="AA751" s="45"/>
      <c r="AE751" s="45"/>
      <c r="AG751" s="45"/>
      <c r="AI751" s="45"/>
      <c r="AK751" s="45"/>
      <c r="AM751" s="45"/>
    </row>
    <row r="752" spans="1:39" ht="12.75" customHeight="1">
      <c r="A752" s="24"/>
      <c r="C752" s="42"/>
      <c r="D752" s="73"/>
      <c r="E752" s="45"/>
      <c r="F752" s="44"/>
      <c r="G752" s="45"/>
      <c r="I752" s="45"/>
      <c r="K752" s="45"/>
      <c r="M752" s="45"/>
      <c r="O752" s="45"/>
      <c r="Q752" s="45"/>
      <c r="W752" s="45"/>
      <c r="Y752" s="45"/>
      <c r="AA752" s="45"/>
      <c r="AE752" s="45"/>
      <c r="AG752" s="45"/>
      <c r="AI752" s="45"/>
      <c r="AK752" s="45"/>
      <c r="AM752" s="45"/>
    </row>
    <row r="753" spans="1:39" ht="12.75" customHeight="1">
      <c r="A753" s="24"/>
      <c r="C753" s="42"/>
      <c r="D753" s="73"/>
      <c r="E753" s="45"/>
      <c r="F753" s="44"/>
      <c r="G753" s="45"/>
      <c r="I753" s="45"/>
      <c r="K753" s="45"/>
      <c r="M753" s="45"/>
      <c r="O753" s="45"/>
      <c r="Q753" s="45"/>
      <c r="W753" s="45"/>
      <c r="Y753" s="45"/>
      <c r="AA753" s="45"/>
      <c r="AE753" s="45"/>
      <c r="AG753" s="45"/>
      <c r="AI753" s="45"/>
      <c r="AK753" s="45"/>
      <c r="AM753" s="45"/>
    </row>
    <row r="754" spans="1:39" ht="12.75" customHeight="1">
      <c r="A754" s="24"/>
      <c r="C754" s="42"/>
      <c r="D754" s="73"/>
      <c r="E754" s="45"/>
      <c r="F754" s="44"/>
      <c r="G754" s="45"/>
      <c r="I754" s="45"/>
      <c r="K754" s="45"/>
      <c r="M754" s="45"/>
      <c r="O754" s="45"/>
      <c r="Q754" s="45"/>
      <c r="W754" s="45"/>
      <c r="Y754" s="45"/>
      <c r="AA754" s="45"/>
      <c r="AE754" s="45"/>
      <c r="AG754" s="45"/>
      <c r="AI754" s="45"/>
      <c r="AK754" s="45"/>
      <c r="AM754" s="45"/>
    </row>
    <row r="755" spans="1:39" ht="12.75" customHeight="1">
      <c r="A755" s="24"/>
      <c r="C755" s="42"/>
      <c r="D755" s="73"/>
      <c r="E755" s="45"/>
      <c r="F755" s="44"/>
      <c r="G755" s="45"/>
      <c r="I755" s="45"/>
      <c r="K755" s="45"/>
      <c r="M755" s="45"/>
      <c r="O755" s="45"/>
      <c r="Q755" s="45"/>
      <c r="W755" s="45"/>
      <c r="Y755" s="45"/>
      <c r="AA755" s="45"/>
      <c r="AE755" s="45"/>
      <c r="AG755" s="45"/>
      <c r="AI755" s="45"/>
      <c r="AK755" s="45"/>
      <c r="AM755" s="45"/>
    </row>
    <row r="756" spans="1:39" ht="12.75" customHeight="1">
      <c r="A756" s="24"/>
      <c r="C756" s="42"/>
      <c r="D756" s="73"/>
      <c r="E756" s="45"/>
      <c r="F756" s="44"/>
      <c r="G756" s="45"/>
      <c r="I756" s="45"/>
      <c r="K756" s="45"/>
      <c r="M756" s="45"/>
      <c r="O756" s="45"/>
      <c r="Q756" s="45"/>
      <c r="W756" s="45"/>
      <c r="Y756" s="45"/>
      <c r="AA756" s="45"/>
      <c r="AE756" s="45"/>
      <c r="AG756" s="45"/>
      <c r="AI756" s="45"/>
      <c r="AK756" s="45"/>
      <c r="AM756" s="45"/>
    </row>
    <row r="757" spans="1:39" ht="12.75" customHeight="1">
      <c r="A757" s="24"/>
      <c r="C757" s="42"/>
      <c r="D757" s="73"/>
      <c r="E757" s="45"/>
      <c r="F757" s="44"/>
      <c r="G757" s="45"/>
      <c r="I757" s="45"/>
      <c r="K757" s="45"/>
      <c r="M757" s="45"/>
      <c r="O757" s="45"/>
      <c r="Q757" s="45"/>
      <c r="W757" s="45"/>
      <c r="Y757" s="45"/>
      <c r="AA757" s="45"/>
      <c r="AE757" s="45"/>
      <c r="AG757" s="45"/>
      <c r="AI757" s="45"/>
      <c r="AK757" s="45"/>
      <c r="AM757" s="45"/>
    </row>
    <row r="758" spans="1:39" ht="12.75" customHeight="1">
      <c r="A758" s="24"/>
      <c r="C758" s="42"/>
      <c r="D758" s="73"/>
      <c r="E758" s="45"/>
      <c r="F758" s="44"/>
      <c r="G758" s="45"/>
      <c r="I758" s="45"/>
      <c r="K758" s="45"/>
      <c r="M758" s="45"/>
      <c r="O758" s="45"/>
      <c r="Q758" s="45"/>
      <c r="W758" s="45"/>
      <c r="Y758" s="45"/>
      <c r="AA758" s="45"/>
      <c r="AE758" s="45"/>
      <c r="AG758" s="45"/>
      <c r="AI758" s="45"/>
      <c r="AK758" s="45"/>
      <c r="AM758" s="45"/>
    </row>
    <row r="759" spans="1:39" ht="12.75" customHeight="1">
      <c r="A759" s="24"/>
      <c r="C759" s="42"/>
      <c r="D759" s="73"/>
      <c r="E759" s="45"/>
      <c r="F759" s="44"/>
      <c r="G759" s="45"/>
      <c r="I759" s="45"/>
      <c r="K759" s="45"/>
      <c r="M759" s="45"/>
      <c r="O759" s="45"/>
      <c r="Q759" s="45"/>
      <c r="W759" s="45"/>
      <c r="Y759" s="45"/>
      <c r="AA759" s="45"/>
      <c r="AE759" s="45"/>
      <c r="AG759" s="45"/>
      <c r="AI759" s="45"/>
      <c r="AK759" s="45"/>
      <c r="AM759" s="45"/>
    </row>
    <row r="760" spans="1:39" ht="12.75" customHeight="1">
      <c r="A760" s="24"/>
      <c r="C760" s="42"/>
      <c r="D760" s="73"/>
      <c r="E760" s="45"/>
      <c r="F760" s="44"/>
      <c r="G760" s="45"/>
      <c r="I760" s="45"/>
      <c r="K760" s="45"/>
      <c r="M760" s="45"/>
      <c r="O760" s="45"/>
      <c r="Q760" s="45"/>
      <c r="W760" s="45"/>
      <c r="Y760" s="45"/>
      <c r="AA760" s="45"/>
      <c r="AE760" s="45"/>
      <c r="AG760" s="45"/>
      <c r="AI760" s="45"/>
      <c r="AK760" s="45"/>
      <c r="AM760" s="45"/>
    </row>
    <row r="761" spans="1:39" ht="12.75" customHeight="1">
      <c r="A761" s="24"/>
      <c r="C761" s="42"/>
      <c r="D761" s="73"/>
      <c r="E761" s="45"/>
      <c r="F761" s="44"/>
      <c r="G761" s="45"/>
      <c r="I761" s="45"/>
      <c r="K761" s="45"/>
      <c r="M761" s="45"/>
      <c r="O761" s="45"/>
      <c r="Q761" s="45"/>
      <c r="W761" s="45"/>
      <c r="Y761" s="45"/>
      <c r="AA761" s="45"/>
      <c r="AE761" s="45"/>
      <c r="AG761" s="45"/>
      <c r="AI761" s="45"/>
      <c r="AK761" s="45"/>
      <c r="AM761" s="45"/>
    </row>
    <row r="762" spans="1:39" ht="12.75" customHeight="1">
      <c r="A762" s="24"/>
      <c r="C762" s="42"/>
      <c r="D762" s="73"/>
      <c r="E762" s="45"/>
      <c r="F762" s="44"/>
      <c r="G762" s="45"/>
      <c r="I762" s="45"/>
      <c r="K762" s="45"/>
      <c r="M762" s="45"/>
      <c r="O762" s="45"/>
      <c r="Q762" s="45"/>
      <c r="W762" s="45"/>
      <c r="Y762" s="45"/>
      <c r="AA762" s="45"/>
      <c r="AE762" s="45"/>
      <c r="AG762" s="45"/>
      <c r="AI762" s="45"/>
      <c r="AK762" s="45"/>
      <c r="AM762" s="45"/>
    </row>
    <row r="763" spans="1:39" ht="12.75" customHeight="1">
      <c r="A763" s="24"/>
      <c r="C763" s="42"/>
      <c r="D763" s="73"/>
      <c r="E763" s="45"/>
      <c r="F763" s="44"/>
      <c r="G763" s="45"/>
      <c r="I763" s="45"/>
      <c r="K763" s="45"/>
      <c r="M763" s="45"/>
      <c r="O763" s="45"/>
      <c r="Q763" s="45"/>
      <c r="W763" s="45"/>
      <c r="Y763" s="45"/>
      <c r="AA763" s="45"/>
      <c r="AE763" s="45"/>
      <c r="AG763" s="45"/>
      <c r="AI763" s="45"/>
      <c r="AK763" s="45"/>
      <c r="AM763" s="45"/>
    </row>
    <row r="764" spans="1:39" ht="12.75" customHeight="1">
      <c r="A764" s="24"/>
      <c r="C764" s="42"/>
      <c r="D764" s="73"/>
      <c r="E764" s="45"/>
      <c r="F764" s="44"/>
      <c r="G764" s="45"/>
      <c r="I764" s="45"/>
      <c r="K764" s="45"/>
      <c r="M764" s="45"/>
      <c r="O764" s="45"/>
      <c r="Q764" s="45"/>
      <c r="W764" s="45"/>
      <c r="Y764" s="45"/>
      <c r="AA764" s="45"/>
      <c r="AE764" s="45"/>
      <c r="AG764" s="45"/>
      <c r="AI764" s="45"/>
      <c r="AK764" s="45"/>
      <c r="AM764" s="45"/>
    </row>
    <row r="765" spans="1:39" ht="12.75" customHeight="1">
      <c r="A765" s="24"/>
      <c r="C765" s="42"/>
      <c r="D765" s="73"/>
      <c r="E765" s="45"/>
      <c r="F765" s="44"/>
      <c r="G765" s="45"/>
      <c r="I765" s="45"/>
      <c r="K765" s="45"/>
      <c r="M765" s="45"/>
      <c r="O765" s="45"/>
      <c r="Q765" s="45"/>
      <c r="W765" s="45"/>
      <c r="Y765" s="45"/>
      <c r="AA765" s="45"/>
      <c r="AE765" s="45"/>
      <c r="AG765" s="45"/>
      <c r="AI765" s="45"/>
      <c r="AK765" s="45"/>
      <c r="AM765" s="45"/>
    </row>
    <row r="766" spans="1:39" ht="12.75" customHeight="1">
      <c r="A766" s="24"/>
      <c r="C766" s="42"/>
      <c r="D766" s="73"/>
      <c r="E766" s="45"/>
      <c r="F766" s="44"/>
      <c r="G766" s="45"/>
      <c r="I766" s="45"/>
      <c r="K766" s="45"/>
      <c r="M766" s="45"/>
      <c r="O766" s="45"/>
      <c r="Q766" s="45"/>
      <c r="W766" s="45"/>
      <c r="Y766" s="45"/>
      <c r="AA766" s="45"/>
      <c r="AE766" s="45"/>
      <c r="AG766" s="45"/>
      <c r="AI766" s="45"/>
      <c r="AK766" s="45"/>
      <c r="AM766" s="45"/>
    </row>
    <row r="767" spans="1:39" ht="12.75" customHeight="1">
      <c r="A767" s="24"/>
      <c r="C767" s="42"/>
      <c r="D767" s="73"/>
      <c r="E767" s="45"/>
      <c r="F767" s="44"/>
      <c r="G767" s="45"/>
      <c r="I767" s="45"/>
      <c r="K767" s="45"/>
      <c r="M767" s="45"/>
      <c r="O767" s="45"/>
      <c r="Q767" s="45"/>
      <c r="W767" s="45"/>
      <c r="Y767" s="45"/>
      <c r="AA767" s="45"/>
      <c r="AE767" s="45"/>
      <c r="AG767" s="45"/>
      <c r="AI767" s="45"/>
      <c r="AK767" s="45"/>
      <c r="AM767" s="45"/>
    </row>
    <row r="768" spans="1:39" ht="12.75" customHeight="1">
      <c r="A768" s="24"/>
      <c r="C768" s="42"/>
      <c r="D768" s="73"/>
      <c r="E768" s="45"/>
      <c r="F768" s="44"/>
      <c r="G768" s="45"/>
      <c r="I768" s="45"/>
      <c r="K768" s="45"/>
      <c r="M768" s="45"/>
      <c r="O768" s="45"/>
      <c r="Q768" s="45"/>
      <c r="W768" s="45"/>
      <c r="Y768" s="45"/>
      <c r="AA768" s="45"/>
      <c r="AE768" s="45"/>
      <c r="AG768" s="45"/>
      <c r="AI768" s="45"/>
      <c r="AK768" s="45"/>
      <c r="AM768" s="45"/>
    </row>
    <row r="769" spans="1:39" ht="12.75" customHeight="1">
      <c r="A769" s="24"/>
      <c r="C769" s="42"/>
      <c r="D769" s="73"/>
      <c r="E769" s="45"/>
      <c r="F769" s="44"/>
      <c r="G769" s="45"/>
      <c r="I769" s="45"/>
      <c r="K769" s="45"/>
      <c r="M769" s="45"/>
      <c r="O769" s="45"/>
      <c r="Q769" s="45"/>
      <c r="W769" s="45"/>
      <c r="Y769" s="45"/>
      <c r="AA769" s="45"/>
      <c r="AE769" s="45"/>
      <c r="AG769" s="45"/>
      <c r="AI769" s="45"/>
      <c r="AK769" s="45"/>
      <c r="AM769" s="45"/>
    </row>
    <row r="770" spans="1:39" ht="12.75" customHeight="1">
      <c r="A770" s="24"/>
      <c r="C770" s="42"/>
      <c r="D770" s="73"/>
      <c r="E770" s="45"/>
      <c r="F770" s="44"/>
      <c r="G770" s="45"/>
      <c r="I770" s="45"/>
      <c r="K770" s="45"/>
      <c r="M770" s="45"/>
      <c r="O770" s="45"/>
      <c r="Q770" s="45"/>
      <c r="W770" s="45"/>
      <c r="Y770" s="45"/>
      <c r="AA770" s="45"/>
      <c r="AE770" s="45"/>
      <c r="AG770" s="45"/>
      <c r="AI770" s="45"/>
      <c r="AK770" s="45"/>
      <c r="AM770" s="45"/>
    </row>
    <row r="771" spans="1:39" ht="12.75" customHeight="1">
      <c r="A771" s="24"/>
      <c r="C771" s="42"/>
      <c r="D771" s="73"/>
      <c r="E771" s="45"/>
      <c r="F771" s="44"/>
      <c r="G771" s="45"/>
      <c r="I771" s="45"/>
      <c r="K771" s="45"/>
      <c r="M771" s="45"/>
      <c r="O771" s="45"/>
      <c r="Q771" s="45"/>
      <c r="W771" s="45"/>
      <c r="Y771" s="45"/>
      <c r="AA771" s="45"/>
      <c r="AE771" s="45"/>
      <c r="AG771" s="45"/>
      <c r="AI771" s="45"/>
      <c r="AK771" s="45"/>
      <c r="AM771" s="45"/>
    </row>
    <row r="772" spans="1:39" ht="12.75" customHeight="1">
      <c r="A772" s="24"/>
      <c r="C772" s="42"/>
      <c r="D772" s="73"/>
      <c r="E772" s="45"/>
      <c r="F772" s="44"/>
      <c r="G772" s="45"/>
      <c r="I772" s="45"/>
      <c r="K772" s="45"/>
      <c r="M772" s="45"/>
      <c r="O772" s="45"/>
      <c r="Q772" s="45"/>
      <c r="W772" s="45"/>
      <c r="Y772" s="45"/>
      <c r="AA772" s="45"/>
      <c r="AE772" s="45"/>
      <c r="AG772" s="45"/>
      <c r="AI772" s="45"/>
      <c r="AK772" s="45"/>
      <c r="AM772" s="45"/>
    </row>
    <row r="773" spans="1:39" ht="12.75" customHeight="1">
      <c r="A773" s="24"/>
      <c r="C773" s="42"/>
      <c r="D773" s="73"/>
      <c r="E773" s="45"/>
      <c r="F773" s="44"/>
      <c r="G773" s="45"/>
      <c r="I773" s="45"/>
      <c r="K773" s="45"/>
      <c r="M773" s="45"/>
      <c r="O773" s="45"/>
      <c r="Q773" s="45"/>
      <c r="W773" s="45"/>
      <c r="Y773" s="45"/>
      <c r="AA773" s="45"/>
      <c r="AE773" s="45"/>
      <c r="AG773" s="45"/>
      <c r="AI773" s="45"/>
      <c r="AK773" s="45"/>
      <c r="AM773" s="45"/>
    </row>
    <row r="774" spans="1:39" ht="12.75" customHeight="1">
      <c r="A774" s="24"/>
      <c r="C774" s="42"/>
      <c r="D774" s="73"/>
      <c r="E774" s="45"/>
      <c r="F774" s="44"/>
      <c r="G774" s="45"/>
      <c r="I774" s="45"/>
      <c r="K774" s="45"/>
      <c r="M774" s="45"/>
      <c r="O774" s="45"/>
      <c r="Q774" s="45"/>
      <c r="W774" s="45"/>
      <c r="Y774" s="45"/>
      <c r="AA774" s="45"/>
      <c r="AE774" s="45"/>
      <c r="AG774" s="45"/>
      <c r="AI774" s="45"/>
      <c r="AK774" s="45"/>
      <c r="AM774" s="45"/>
    </row>
    <row r="775" spans="1:39" ht="12.75" customHeight="1">
      <c r="A775" s="24"/>
      <c r="C775" s="42"/>
      <c r="D775" s="73"/>
      <c r="E775" s="45"/>
      <c r="F775" s="44"/>
      <c r="G775" s="45"/>
      <c r="I775" s="45"/>
      <c r="K775" s="45"/>
      <c r="M775" s="45"/>
      <c r="O775" s="45"/>
      <c r="Q775" s="45"/>
      <c r="W775" s="45"/>
      <c r="Y775" s="45"/>
      <c r="AA775" s="45"/>
      <c r="AE775" s="45"/>
      <c r="AG775" s="45"/>
      <c r="AI775" s="45"/>
      <c r="AK775" s="45"/>
      <c r="AM775" s="45"/>
    </row>
    <row r="776" spans="1:39" ht="12.75" customHeight="1">
      <c r="A776" s="24"/>
      <c r="C776" s="42"/>
      <c r="D776" s="73"/>
      <c r="E776" s="45"/>
      <c r="F776" s="44"/>
      <c r="G776" s="45"/>
      <c r="I776" s="45"/>
      <c r="K776" s="45"/>
      <c r="M776" s="45"/>
      <c r="O776" s="45"/>
      <c r="Q776" s="45"/>
      <c r="W776" s="45"/>
      <c r="Y776" s="45"/>
      <c r="AA776" s="45"/>
      <c r="AE776" s="45"/>
      <c r="AG776" s="45"/>
      <c r="AI776" s="45"/>
      <c r="AK776" s="45"/>
      <c r="AM776" s="45"/>
    </row>
    <row r="777" spans="1:39" ht="12.75" customHeight="1">
      <c r="A777" s="24"/>
      <c r="C777" s="42"/>
      <c r="D777" s="73"/>
      <c r="E777" s="45"/>
      <c r="F777" s="44"/>
      <c r="G777" s="45"/>
      <c r="I777" s="45"/>
      <c r="K777" s="45"/>
      <c r="M777" s="45"/>
      <c r="O777" s="45"/>
      <c r="Q777" s="45"/>
      <c r="W777" s="45"/>
      <c r="Y777" s="45"/>
      <c r="AA777" s="45"/>
      <c r="AE777" s="45"/>
      <c r="AG777" s="45"/>
      <c r="AI777" s="45"/>
      <c r="AK777" s="45"/>
      <c r="AM777" s="45"/>
    </row>
    <row r="778" spans="1:39" ht="12.75" customHeight="1">
      <c r="A778" s="24"/>
      <c r="C778" s="42"/>
      <c r="D778" s="73"/>
      <c r="E778" s="45"/>
      <c r="F778" s="44"/>
      <c r="G778" s="45"/>
      <c r="I778" s="45"/>
      <c r="K778" s="45"/>
      <c r="M778" s="45"/>
      <c r="O778" s="45"/>
      <c r="Q778" s="45"/>
      <c r="W778" s="45"/>
      <c r="Y778" s="45"/>
      <c r="AA778" s="45"/>
      <c r="AE778" s="45"/>
      <c r="AG778" s="45"/>
      <c r="AI778" s="45"/>
      <c r="AK778" s="45"/>
      <c r="AM778" s="45"/>
    </row>
    <row r="779" spans="1:39" ht="12.75" customHeight="1">
      <c r="A779" s="24"/>
      <c r="C779" s="42"/>
      <c r="D779" s="73"/>
      <c r="E779" s="45"/>
      <c r="F779" s="44"/>
      <c r="G779" s="45"/>
      <c r="I779" s="45"/>
      <c r="K779" s="45"/>
      <c r="M779" s="45"/>
      <c r="O779" s="45"/>
      <c r="Q779" s="45"/>
      <c r="W779" s="45"/>
      <c r="Y779" s="45"/>
      <c r="AA779" s="45"/>
      <c r="AE779" s="45"/>
      <c r="AG779" s="45"/>
      <c r="AI779" s="45"/>
      <c r="AK779" s="45"/>
      <c r="AM779" s="45"/>
    </row>
    <row r="780" spans="1:39" ht="12.75" customHeight="1">
      <c r="A780" s="24"/>
      <c r="C780" s="42"/>
      <c r="D780" s="73"/>
      <c r="E780" s="45"/>
      <c r="F780" s="44"/>
      <c r="G780" s="45"/>
      <c r="I780" s="45"/>
      <c r="K780" s="45"/>
      <c r="M780" s="45"/>
      <c r="O780" s="45"/>
      <c r="Q780" s="45"/>
      <c r="W780" s="45"/>
      <c r="Y780" s="45"/>
      <c r="AA780" s="45"/>
      <c r="AE780" s="45"/>
      <c r="AG780" s="45"/>
      <c r="AI780" s="45"/>
      <c r="AK780" s="45"/>
      <c r="AM780" s="45"/>
    </row>
    <row r="781" spans="1:39" ht="12.75" customHeight="1">
      <c r="A781" s="24"/>
      <c r="C781" s="42"/>
      <c r="D781" s="73"/>
      <c r="E781" s="45"/>
      <c r="F781" s="44"/>
      <c r="G781" s="45"/>
      <c r="I781" s="45"/>
      <c r="K781" s="45"/>
      <c r="M781" s="45"/>
      <c r="O781" s="45"/>
      <c r="Q781" s="45"/>
      <c r="W781" s="45"/>
      <c r="Y781" s="45"/>
      <c r="AA781" s="45"/>
      <c r="AE781" s="45"/>
      <c r="AG781" s="45"/>
      <c r="AI781" s="45"/>
      <c r="AK781" s="45"/>
      <c r="AM781" s="45"/>
    </row>
    <row r="782" spans="1:39" ht="12.75" customHeight="1">
      <c r="A782" s="24"/>
      <c r="C782" s="42"/>
      <c r="D782" s="73"/>
      <c r="E782" s="45"/>
      <c r="F782" s="44"/>
      <c r="G782" s="45"/>
      <c r="I782" s="45"/>
      <c r="K782" s="45"/>
      <c r="M782" s="45"/>
      <c r="O782" s="45"/>
      <c r="Q782" s="45"/>
      <c r="W782" s="45"/>
      <c r="Y782" s="45"/>
      <c r="AA782" s="45"/>
      <c r="AE782" s="45"/>
      <c r="AG782" s="45"/>
      <c r="AI782" s="45"/>
      <c r="AK782" s="45"/>
      <c r="AM782" s="45"/>
    </row>
    <row r="783" spans="1:39" ht="12.75" customHeight="1">
      <c r="A783" s="24"/>
      <c r="C783" s="42"/>
      <c r="D783" s="73"/>
      <c r="E783" s="45"/>
      <c r="F783" s="44"/>
      <c r="G783" s="45"/>
      <c r="I783" s="45"/>
      <c r="K783" s="45"/>
      <c r="M783" s="45"/>
      <c r="O783" s="45"/>
      <c r="Q783" s="45"/>
      <c r="W783" s="45"/>
      <c r="Y783" s="45"/>
      <c r="AA783" s="45"/>
      <c r="AE783" s="45"/>
      <c r="AG783" s="45"/>
      <c r="AI783" s="45"/>
      <c r="AK783" s="45"/>
      <c r="AM783" s="45"/>
    </row>
    <row r="784" spans="1:39" ht="12.75" customHeight="1">
      <c r="A784" s="24"/>
      <c r="C784" s="42"/>
      <c r="D784" s="73"/>
      <c r="E784" s="45"/>
      <c r="F784" s="44"/>
      <c r="G784" s="45"/>
      <c r="I784" s="45"/>
      <c r="K784" s="45"/>
      <c r="M784" s="45"/>
      <c r="O784" s="45"/>
      <c r="Q784" s="45"/>
      <c r="W784" s="45"/>
      <c r="Y784" s="45"/>
      <c r="AA784" s="45"/>
      <c r="AE784" s="45"/>
      <c r="AG784" s="45"/>
      <c r="AI784" s="45"/>
      <c r="AK784" s="45"/>
      <c r="AM784" s="45"/>
    </row>
    <row r="785" spans="1:39" ht="12.75" customHeight="1">
      <c r="A785" s="24"/>
      <c r="C785" s="42"/>
      <c r="D785" s="73"/>
      <c r="E785" s="45"/>
      <c r="F785" s="44"/>
      <c r="G785" s="45"/>
      <c r="I785" s="45"/>
      <c r="K785" s="45"/>
      <c r="M785" s="45"/>
      <c r="O785" s="45"/>
      <c r="Q785" s="45"/>
      <c r="W785" s="45"/>
      <c r="Y785" s="45"/>
      <c r="AA785" s="45"/>
      <c r="AE785" s="45"/>
      <c r="AG785" s="45"/>
      <c r="AI785" s="45"/>
      <c r="AK785" s="45"/>
      <c r="AM785" s="45"/>
    </row>
    <row r="786" spans="1:39" ht="12.75" customHeight="1">
      <c r="A786" s="24"/>
      <c r="C786" s="42"/>
      <c r="D786" s="73"/>
      <c r="E786" s="45"/>
      <c r="F786" s="44"/>
      <c r="G786" s="45"/>
      <c r="I786" s="45"/>
      <c r="K786" s="45"/>
      <c r="M786" s="45"/>
      <c r="O786" s="45"/>
      <c r="Q786" s="45"/>
      <c r="W786" s="45"/>
      <c r="Y786" s="45"/>
      <c r="AA786" s="45"/>
      <c r="AE786" s="45"/>
      <c r="AG786" s="45"/>
      <c r="AI786" s="45"/>
      <c r="AK786" s="45"/>
      <c r="AM786" s="45"/>
    </row>
    <row r="787" spans="1:39" ht="12.75" customHeight="1">
      <c r="A787" s="24"/>
      <c r="C787" s="42"/>
      <c r="D787" s="73"/>
      <c r="E787" s="45"/>
      <c r="F787" s="44"/>
      <c r="G787" s="45"/>
      <c r="I787" s="45"/>
      <c r="K787" s="45"/>
      <c r="M787" s="45"/>
      <c r="O787" s="45"/>
      <c r="Q787" s="45"/>
      <c r="W787" s="45"/>
      <c r="Y787" s="45"/>
      <c r="AA787" s="45"/>
      <c r="AE787" s="45"/>
      <c r="AG787" s="45"/>
      <c r="AI787" s="45"/>
      <c r="AK787" s="45"/>
      <c r="AM787" s="45"/>
    </row>
    <row r="788" spans="1:39" ht="12.75" customHeight="1">
      <c r="A788" s="24"/>
      <c r="C788" s="42"/>
      <c r="D788" s="73"/>
      <c r="E788" s="45"/>
      <c r="F788" s="44"/>
      <c r="G788" s="45"/>
      <c r="I788" s="45"/>
      <c r="K788" s="45"/>
      <c r="M788" s="45"/>
      <c r="O788" s="45"/>
      <c r="Q788" s="45"/>
      <c r="W788" s="45"/>
      <c r="Y788" s="45"/>
      <c r="AA788" s="45"/>
      <c r="AE788" s="45"/>
      <c r="AG788" s="45"/>
      <c r="AI788" s="45"/>
      <c r="AK788" s="45"/>
      <c r="AM788" s="45"/>
    </row>
    <row r="789" spans="1:39" ht="12.75" customHeight="1">
      <c r="A789" s="24"/>
      <c r="C789" s="42"/>
      <c r="D789" s="73"/>
      <c r="E789" s="45"/>
      <c r="F789" s="44"/>
      <c r="G789" s="45"/>
      <c r="I789" s="45"/>
      <c r="K789" s="45"/>
      <c r="M789" s="45"/>
      <c r="O789" s="45"/>
      <c r="Q789" s="45"/>
      <c r="W789" s="45"/>
      <c r="Y789" s="45"/>
      <c r="AA789" s="45"/>
      <c r="AE789" s="45"/>
      <c r="AG789" s="45"/>
      <c r="AI789" s="45"/>
      <c r="AK789" s="45"/>
      <c r="AM789" s="45"/>
    </row>
    <row r="790" spans="1:39" ht="12.75" customHeight="1">
      <c r="A790" s="24"/>
      <c r="C790" s="42"/>
      <c r="D790" s="73"/>
      <c r="E790" s="45"/>
      <c r="F790" s="44"/>
      <c r="G790" s="45"/>
      <c r="I790" s="45"/>
      <c r="K790" s="45"/>
      <c r="M790" s="45"/>
      <c r="O790" s="45"/>
      <c r="Q790" s="45"/>
      <c r="W790" s="45"/>
      <c r="Y790" s="45"/>
      <c r="AA790" s="45"/>
      <c r="AE790" s="45"/>
      <c r="AG790" s="45"/>
      <c r="AI790" s="45"/>
      <c r="AK790" s="45"/>
      <c r="AM790" s="45"/>
    </row>
    <row r="791" spans="1:39" ht="12.75" customHeight="1">
      <c r="A791" s="24"/>
      <c r="C791" s="42"/>
      <c r="D791" s="73"/>
      <c r="E791" s="45"/>
      <c r="F791" s="44"/>
      <c r="G791" s="45"/>
      <c r="I791" s="45"/>
      <c r="K791" s="45"/>
      <c r="M791" s="45"/>
      <c r="O791" s="45"/>
      <c r="Q791" s="45"/>
      <c r="W791" s="45"/>
      <c r="Y791" s="45"/>
      <c r="AA791" s="45"/>
      <c r="AE791" s="45"/>
      <c r="AG791" s="45"/>
      <c r="AI791" s="45"/>
      <c r="AK791" s="45"/>
      <c r="AM791" s="45"/>
    </row>
    <row r="792" spans="1:39" ht="12.75" customHeight="1">
      <c r="A792" s="24"/>
      <c r="C792" s="42"/>
      <c r="D792" s="73"/>
      <c r="E792" s="45"/>
      <c r="F792" s="44"/>
      <c r="G792" s="45"/>
      <c r="I792" s="45"/>
      <c r="K792" s="45"/>
      <c r="M792" s="45"/>
      <c r="O792" s="45"/>
      <c r="Q792" s="45"/>
      <c r="W792" s="45"/>
      <c r="Y792" s="45"/>
      <c r="AA792" s="45"/>
      <c r="AE792" s="45"/>
      <c r="AG792" s="45"/>
      <c r="AI792" s="45"/>
      <c r="AK792" s="45"/>
      <c r="AM792" s="45"/>
    </row>
    <row r="793" spans="1:39" ht="12.75" customHeight="1">
      <c r="A793" s="24"/>
      <c r="C793" s="42"/>
      <c r="D793" s="73"/>
      <c r="E793" s="45"/>
      <c r="F793" s="44"/>
      <c r="G793" s="45"/>
      <c r="I793" s="45"/>
      <c r="K793" s="45"/>
      <c r="M793" s="45"/>
      <c r="O793" s="45"/>
      <c r="Q793" s="45"/>
      <c r="W793" s="45"/>
      <c r="Y793" s="45"/>
      <c r="AA793" s="45"/>
      <c r="AE793" s="45"/>
      <c r="AG793" s="45"/>
      <c r="AI793" s="45"/>
      <c r="AK793" s="45"/>
      <c r="AM793" s="45"/>
    </row>
    <row r="794" spans="1:39" ht="12.75" customHeight="1">
      <c r="A794" s="24"/>
      <c r="C794" s="42"/>
      <c r="D794" s="73"/>
      <c r="E794" s="45"/>
      <c r="F794" s="44"/>
      <c r="G794" s="45"/>
      <c r="I794" s="45"/>
      <c r="K794" s="45"/>
      <c r="M794" s="45"/>
      <c r="O794" s="45"/>
      <c r="Q794" s="45"/>
      <c r="W794" s="45"/>
      <c r="Y794" s="45"/>
      <c r="AA794" s="45"/>
      <c r="AE794" s="45"/>
      <c r="AG794" s="45"/>
      <c r="AI794" s="45"/>
      <c r="AK794" s="45"/>
      <c r="AM794" s="45"/>
    </row>
    <row r="795" spans="1:39" ht="12.75" customHeight="1">
      <c r="A795" s="24"/>
      <c r="C795" s="42"/>
      <c r="D795" s="73"/>
      <c r="E795" s="45"/>
      <c r="F795" s="44"/>
      <c r="G795" s="45"/>
      <c r="I795" s="45"/>
      <c r="K795" s="45"/>
      <c r="M795" s="45"/>
      <c r="O795" s="45"/>
      <c r="Q795" s="45"/>
      <c r="W795" s="45"/>
      <c r="Y795" s="45"/>
      <c r="AA795" s="45"/>
      <c r="AE795" s="45"/>
      <c r="AG795" s="45"/>
      <c r="AI795" s="45"/>
      <c r="AK795" s="45"/>
      <c r="AM795" s="45"/>
    </row>
    <row r="796" spans="1:39" ht="12.75" customHeight="1">
      <c r="A796" s="24"/>
      <c r="C796" s="42"/>
      <c r="D796" s="73"/>
      <c r="E796" s="45"/>
      <c r="F796" s="44"/>
      <c r="G796" s="45"/>
      <c r="I796" s="45"/>
      <c r="K796" s="45"/>
      <c r="M796" s="45"/>
      <c r="O796" s="45"/>
      <c r="Q796" s="45"/>
      <c r="W796" s="45"/>
      <c r="Y796" s="45"/>
      <c r="AA796" s="45"/>
      <c r="AE796" s="45"/>
      <c r="AG796" s="45"/>
      <c r="AI796" s="45"/>
      <c r="AK796" s="45"/>
      <c r="AM796" s="45"/>
    </row>
    <row r="797" spans="1:39" ht="12.75" customHeight="1">
      <c r="A797" s="24"/>
      <c r="C797" s="42"/>
      <c r="D797" s="73"/>
      <c r="E797" s="45"/>
      <c r="F797" s="44"/>
      <c r="G797" s="45"/>
      <c r="I797" s="45"/>
      <c r="K797" s="45"/>
      <c r="M797" s="45"/>
      <c r="O797" s="45"/>
      <c r="Q797" s="45"/>
      <c r="W797" s="45"/>
      <c r="Y797" s="45"/>
      <c r="AA797" s="45"/>
      <c r="AE797" s="45"/>
      <c r="AG797" s="45"/>
      <c r="AI797" s="45"/>
      <c r="AK797" s="45"/>
      <c r="AM797" s="45"/>
    </row>
    <row r="798" spans="1:39" ht="12.75" customHeight="1">
      <c r="A798" s="24"/>
      <c r="C798" s="42"/>
      <c r="D798" s="73"/>
      <c r="E798" s="45"/>
      <c r="F798" s="44"/>
      <c r="G798" s="45"/>
      <c r="I798" s="45"/>
      <c r="K798" s="45"/>
      <c r="M798" s="45"/>
      <c r="O798" s="45"/>
      <c r="Q798" s="45"/>
      <c r="W798" s="45"/>
      <c r="Y798" s="45"/>
      <c r="AA798" s="45"/>
      <c r="AE798" s="45"/>
      <c r="AG798" s="45"/>
      <c r="AI798" s="45"/>
      <c r="AK798" s="45"/>
      <c r="AM798" s="45"/>
    </row>
    <row r="799" spans="1:39" ht="12.75" customHeight="1">
      <c r="A799" s="24"/>
      <c r="C799" s="42"/>
      <c r="D799" s="73"/>
      <c r="E799" s="45"/>
      <c r="F799" s="44"/>
      <c r="G799" s="45"/>
      <c r="I799" s="45"/>
      <c r="K799" s="45"/>
      <c r="M799" s="45"/>
      <c r="O799" s="45"/>
      <c r="Q799" s="45"/>
      <c r="W799" s="45"/>
      <c r="Y799" s="45"/>
      <c r="AA799" s="45"/>
      <c r="AE799" s="45"/>
      <c r="AG799" s="45"/>
      <c r="AI799" s="45"/>
      <c r="AK799" s="45"/>
      <c r="AM799" s="45"/>
    </row>
    <row r="800" spans="1:39" ht="12.75" customHeight="1">
      <c r="A800" s="24"/>
      <c r="C800" s="42"/>
      <c r="D800" s="73"/>
      <c r="E800" s="45"/>
      <c r="F800" s="44"/>
      <c r="G800" s="45"/>
      <c r="I800" s="45"/>
      <c r="K800" s="45"/>
      <c r="M800" s="45"/>
      <c r="O800" s="45"/>
      <c r="Q800" s="45"/>
      <c r="W800" s="45"/>
      <c r="Y800" s="45"/>
      <c r="AA800" s="45"/>
      <c r="AE800" s="45"/>
      <c r="AG800" s="45"/>
      <c r="AI800" s="45"/>
      <c r="AK800" s="45"/>
      <c r="AM800" s="45"/>
    </row>
    <row r="801" spans="1:39" ht="12.75" customHeight="1">
      <c r="A801" s="24"/>
      <c r="C801" s="42"/>
      <c r="D801" s="73"/>
      <c r="E801" s="45"/>
      <c r="F801" s="44"/>
      <c r="G801" s="45"/>
      <c r="I801" s="45"/>
      <c r="K801" s="45"/>
      <c r="M801" s="45"/>
      <c r="O801" s="45"/>
      <c r="Q801" s="45"/>
      <c r="W801" s="45"/>
      <c r="Y801" s="45"/>
      <c r="AA801" s="45"/>
      <c r="AE801" s="45"/>
      <c r="AG801" s="45"/>
      <c r="AI801" s="45"/>
      <c r="AK801" s="45"/>
      <c r="AM801" s="45"/>
    </row>
    <row r="802" spans="1:39" ht="12.75" customHeight="1">
      <c r="A802" s="24"/>
      <c r="C802" s="42"/>
      <c r="D802" s="73"/>
      <c r="E802" s="45"/>
      <c r="F802" s="44"/>
      <c r="G802" s="45"/>
      <c r="I802" s="45"/>
      <c r="K802" s="45"/>
      <c r="M802" s="45"/>
      <c r="O802" s="45"/>
      <c r="Q802" s="45"/>
      <c r="W802" s="45"/>
      <c r="Y802" s="45"/>
      <c r="AA802" s="45"/>
      <c r="AE802" s="45"/>
      <c r="AG802" s="45"/>
      <c r="AI802" s="45"/>
      <c r="AK802" s="45"/>
      <c r="AM802" s="45"/>
    </row>
    <row r="803" spans="1:39" ht="12.75" customHeight="1">
      <c r="A803" s="24"/>
      <c r="C803" s="42"/>
      <c r="D803" s="73"/>
      <c r="E803" s="45"/>
      <c r="F803" s="44"/>
      <c r="G803" s="45"/>
      <c r="I803" s="45"/>
      <c r="K803" s="45"/>
      <c r="M803" s="45"/>
      <c r="O803" s="45"/>
      <c r="Q803" s="45"/>
      <c r="W803" s="45"/>
      <c r="Y803" s="45"/>
      <c r="AA803" s="45"/>
      <c r="AE803" s="45"/>
      <c r="AG803" s="45"/>
      <c r="AI803" s="45"/>
      <c r="AK803" s="45"/>
      <c r="AM803" s="45"/>
    </row>
    <row r="804" spans="1:39" ht="12.75" customHeight="1">
      <c r="A804" s="24"/>
      <c r="C804" s="42"/>
      <c r="D804" s="73"/>
      <c r="E804" s="45"/>
      <c r="F804" s="44"/>
      <c r="G804" s="45"/>
      <c r="I804" s="45"/>
      <c r="K804" s="45"/>
      <c r="M804" s="45"/>
      <c r="O804" s="45"/>
      <c r="Q804" s="45"/>
      <c r="W804" s="45"/>
      <c r="Y804" s="45"/>
      <c r="AA804" s="45"/>
      <c r="AE804" s="45"/>
      <c r="AG804" s="45"/>
      <c r="AI804" s="45"/>
      <c r="AK804" s="45"/>
      <c r="AM804" s="45"/>
    </row>
    <row r="805" spans="1:39" ht="12.75" customHeight="1">
      <c r="A805" s="24"/>
      <c r="C805" s="42"/>
      <c r="D805" s="73"/>
      <c r="E805" s="45"/>
      <c r="F805" s="44"/>
      <c r="G805" s="45"/>
      <c r="I805" s="45"/>
      <c r="K805" s="45"/>
      <c r="M805" s="45"/>
      <c r="O805" s="45"/>
      <c r="Q805" s="45"/>
      <c r="W805" s="45"/>
      <c r="Y805" s="45"/>
      <c r="AA805" s="45"/>
      <c r="AE805" s="45"/>
      <c r="AG805" s="45"/>
      <c r="AI805" s="45"/>
      <c r="AK805" s="45"/>
      <c r="AM805" s="45"/>
    </row>
    <row r="806" spans="1:39" ht="12.75" customHeight="1">
      <c r="A806" s="24"/>
      <c r="C806" s="42"/>
      <c r="D806" s="73"/>
      <c r="E806" s="45"/>
      <c r="F806" s="44"/>
      <c r="G806" s="45"/>
      <c r="I806" s="45"/>
      <c r="K806" s="45"/>
      <c r="M806" s="45"/>
      <c r="O806" s="45"/>
      <c r="Q806" s="45"/>
      <c r="W806" s="45"/>
      <c r="Y806" s="45"/>
      <c r="AA806" s="45"/>
      <c r="AE806" s="45"/>
      <c r="AG806" s="45"/>
      <c r="AI806" s="45"/>
      <c r="AK806" s="45"/>
      <c r="AM806" s="45"/>
    </row>
    <row r="807" spans="1:39" ht="12.75" customHeight="1">
      <c r="A807" s="24"/>
      <c r="C807" s="42"/>
      <c r="D807" s="73"/>
      <c r="E807" s="45"/>
      <c r="F807" s="44"/>
      <c r="G807" s="45"/>
      <c r="I807" s="45"/>
      <c r="K807" s="45"/>
      <c r="M807" s="45"/>
      <c r="O807" s="45"/>
      <c r="Q807" s="45"/>
      <c r="W807" s="45"/>
      <c r="Y807" s="45"/>
      <c r="AA807" s="45"/>
      <c r="AE807" s="45"/>
      <c r="AG807" s="45"/>
      <c r="AI807" s="45"/>
      <c r="AK807" s="45"/>
      <c r="AM807" s="45"/>
    </row>
    <row r="808" spans="1:39" ht="12.75" customHeight="1">
      <c r="A808" s="24"/>
      <c r="C808" s="42"/>
      <c r="D808" s="73"/>
      <c r="E808" s="45"/>
      <c r="F808" s="44"/>
      <c r="G808" s="45"/>
      <c r="I808" s="45"/>
      <c r="K808" s="45"/>
      <c r="M808" s="45"/>
      <c r="O808" s="45"/>
      <c r="Q808" s="45"/>
      <c r="W808" s="45"/>
      <c r="Y808" s="45"/>
      <c r="AA808" s="45"/>
      <c r="AE808" s="45"/>
      <c r="AG808" s="45"/>
      <c r="AI808" s="45"/>
      <c r="AK808" s="45"/>
      <c r="AM808" s="45"/>
    </row>
    <row r="809" spans="1:39" ht="12.75" customHeight="1">
      <c r="A809" s="24"/>
      <c r="C809" s="42"/>
      <c r="D809" s="73"/>
      <c r="E809" s="45"/>
      <c r="F809" s="44"/>
      <c r="G809" s="45"/>
      <c r="I809" s="45"/>
      <c r="K809" s="45"/>
      <c r="M809" s="45"/>
      <c r="O809" s="45"/>
      <c r="Q809" s="45"/>
      <c r="W809" s="45"/>
      <c r="Y809" s="45"/>
      <c r="AA809" s="45"/>
      <c r="AE809" s="45"/>
      <c r="AG809" s="45"/>
      <c r="AI809" s="45"/>
      <c r="AK809" s="45"/>
      <c r="AM809" s="45"/>
    </row>
    <row r="810" spans="1:39" ht="12.75" customHeight="1">
      <c r="A810" s="24"/>
      <c r="C810" s="42"/>
      <c r="D810" s="73"/>
      <c r="E810" s="45"/>
      <c r="F810" s="44"/>
      <c r="G810" s="45"/>
      <c r="I810" s="45"/>
      <c r="K810" s="45"/>
      <c r="M810" s="45"/>
      <c r="O810" s="45"/>
      <c r="Q810" s="45"/>
      <c r="W810" s="45"/>
      <c r="Y810" s="45"/>
      <c r="AA810" s="45"/>
      <c r="AE810" s="45"/>
      <c r="AG810" s="45"/>
      <c r="AI810" s="45"/>
      <c r="AK810" s="45"/>
      <c r="AM810" s="45"/>
    </row>
    <row r="811" spans="1:39" ht="12.75" customHeight="1">
      <c r="A811" s="24"/>
      <c r="C811" s="42"/>
      <c r="D811" s="73"/>
      <c r="E811" s="45"/>
      <c r="F811" s="44"/>
      <c r="G811" s="45"/>
      <c r="I811" s="45"/>
      <c r="K811" s="45"/>
      <c r="M811" s="45"/>
      <c r="O811" s="45"/>
      <c r="Q811" s="45"/>
      <c r="W811" s="45"/>
      <c r="Y811" s="45"/>
      <c r="AA811" s="45"/>
      <c r="AE811" s="45"/>
      <c r="AG811" s="45"/>
      <c r="AI811" s="45"/>
      <c r="AK811" s="45"/>
      <c r="AM811" s="45"/>
    </row>
    <row r="812" spans="1:39" ht="12.75" customHeight="1">
      <c r="A812" s="24"/>
      <c r="C812" s="42"/>
      <c r="D812" s="73"/>
      <c r="E812" s="45"/>
      <c r="F812" s="44"/>
      <c r="G812" s="45"/>
      <c r="I812" s="45"/>
      <c r="K812" s="45"/>
      <c r="M812" s="45"/>
      <c r="O812" s="45"/>
      <c r="Q812" s="45"/>
      <c r="W812" s="45"/>
      <c r="Y812" s="45"/>
      <c r="AA812" s="45"/>
      <c r="AE812" s="45"/>
      <c r="AG812" s="45"/>
      <c r="AI812" s="45"/>
      <c r="AK812" s="45"/>
      <c r="AM812" s="45"/>
    </row>
    <row r="813" spans="1:39" ht="12.75" customHeight="1">
      <c r="A813" s="24"/>
      <c r="C813" s="42"/>
      <c r="D813" s="73"/>
      <c r="E813" s="45"/>
      <c r="F813" s="44"/>
      <c r="G813" s="45"/>
      <c r="I813" s="45"/>
      <c r="K813" s="45"/>
      <c r="M813" s="45"/>
      <c r="O813" s="45"/>
      <c r="Q813" s="45"/>
      <c r="W813" s="45"/>
      <c r="Y813" s="45"/>
      <c r="AA813" s="45"/>
      <c r="AE813" s="45"/>
      <c r="AG813" s="45"/>
      <c r="AI813" s="45"/>
      <c r="AK813" s="45"/>
      <c r="AM813" s="45"/>
    </row>
    <row r="814" spans="1:39" ht="12.75" customHeight="1">
      <c r="A814" s="24"/>
      <c r="C814" s="42"/>
      <c r="D814" s="73"/>
      <c r="E814" s="45"/>
      <c r="F814" s="44"/>
      <c r="G814" s="45"/>
      <c r="I814" s="45"/>
      <c r="K814" s="45"/>
      <c r="M814" s="45"/>
      <c r="O814" s="45"/>
      <c r="Q814" s="45"/>
      <c r="W814" s="45"/>
      <c r="Y814" s="45"/>
      <c r="AA814" s="45"/>
      <c r="AE814" s="45"/>
      <c r="AG814" s="45"/>
      <c r="AI814" s="45"/>
      <c r="AK814" s="45"/>
      <c r="AM814" s="45"/>
    </row>
    <row r="815" spans="1:39" ht="12.75" customHeight="1">
      <c r="A815" s="24"/>
      <c r="C815" s="42"/>
      <c r="D815" s="73"/>
      <c r="E815" s="45"/>
      <c r="F815" s="44"/>
      <c r="G815" s="45"/>
      <c r="I815" s="45"/>
      <c r="K815" s="45"/>
      <c r="M815" s="45"/>
      <c r="O815" s="45"/>
      <c r="Q815" s="45"/>
      <c r="W815" s="45"/>
      <c r="Y815" s="45"/>
      <c r="AA815" s="45"/>
      <c r="AE815" s="45"/>
      <c r="AG815" s="45"/>
      <c r="AI815" s="45"/>
      <c r="AK815" s="45"/>
      <c r="AM815" s="45"/>
    </row>
    <row r="816" spans="1:39" ht="12.75" customHeight="1">
      <c r="A816" s="24"/>
      <c r="C816" s="42"/>
      <c r="D816" s="73"/>
      <c r="E816" s="45"/>
      <c r="F816" s="44"/>
      <c r="G816" s="45"/>
      <c r="I816" s="45"/>
      <c r="K816" s="45"/>
      <c r="M816" s="45"/>
      <c r="O816" s="45"/>
      <c r="Q816" s="45"/>
      <c r="W816" s="45"/>
      <c r="Y816" s="45"/>
      <c r="AA816" s="45"/>
      <c r="AE816" s="45"/>
      <c r="AG816" s="45"/>
      <c r="AI816" s="45"/>
      <c r="AK816" s="45"/>
      <c r="AM816" s="45"/>
    </row>
    <row r="817" spans="1:39" ht="12.75" customHeight="1">
      <c r="A817" s="24"/>
      <c r="C817" s="42"/>
      <c r="D817" s="73"/>
      <c r="E817" s="45"/>
      <c r="F817" s="44"/>
      <c r="G817" s="45"/>
      <c r="I817" s="45"/>
      <c r="K817" s="45"/>
      <c r="M817" s="45"/>
      <c r="O817" s="45"/>
      <c r="Q817" s="45"/>
      <c r="W817" s="45"/>
      <c r="Y817" s="45"/>
      <c r="AA817" s="45"/>
      <c r="AE817" s="45"/>
      <c r="AG817" s="45"/>
      <c r="AI817" s="45"/>
      <c r="AK817" s="45"/>
      <c r="AM817" s="45"/>
    </row>
    <row r="818" spans="1:39" ht="12.75" customHeight="1">
      <c r="A818" s="24"/>
      <c r="C818" s="42"/>
      <c r="D818" s="73"/>
      <c r="E818" s="45"/>
      <c r="F818" s="44"/>
      <c r="G818" s="45"/>
      <c r="I818" s="45"/>
      <c r="K818" s="45"/>
      <c r="M818" s="45"/>
      <c r="O818" s="45"/>
      <c r="Q818" s="45"/>
      <c r="W818" s="45"/>
      <c r="Y818" s="45"/>
      <c r="AA818" s="45"/>
      <c r="AE818" s="45"/>
      <c r="AG818" s="45"/>
      <c r="AI818" s="45"/>
      <c r="AK818" s="45"/>
      <c r="AM818" s="45"/>
    </row>
    <row r="819" spans="1:39" ht="12.75" customHeight="1">
      <c r="A819" s="24"/>
      <c r="C819" s="42"/>
      <c r="D819" s="73"/>
      <c r="E819" s="45"/>
      <c r="F819" s="44"/>
      <c r="G819" s="45"/>
      <c r="I819" s="45"/>
      <c r="K819" s="45"/>
      <c r="M819" s="45"/>
      <c r="O819" s="45"/>
      <c r="Q819" s="45"/>
      <c r="W819" s="45"/>
      <c r="Y819" s="45"/>
      <c r="AA819" s="45"/>
      <c r="AE819" s="45"/>
      <c r="AG819" s="45"/>
      <c r="AI819" s="45"/>
      <c r="AK819" s="45"/>
      <c r="AM819" s="45"/>
    </row>
    <row r="820" spans="1:39" ht="12.75" customHeight="1">
      <c r="A820" s="24"/>
      <c r="C820" s="42"/>
      <c r="D820" s="73"/>
      <c r="E820" s="45"/>
      <c r="F820" s="44"/>
      <c r="G820" s="45"/>
      <c r="I820" s="45"/>
      <c r="K820" s="45"/>
      <c r="M820" s="45"/>
      <c r="O820" s="45"/>
      <c r="Q820" s="45"/>
      <c r="W820" s="45"/>
      <c r="Y820" s="45"/>
      <c r="AA820" s="45"/>
      <c r="AE820" s="45"/>
      <c r="AG820" s="45"/>
      <c r="AI820" s="45"/>
      <c r="AK820" s="45"/>
      <c r="AM820" s="45"/>
    </row>
    <row r="821" spans="1:39" ht="12.75" customHeight="1">
      <c r="A821" s="24"/>
      <c r="C821" s="42"/>
      <c r="D821" s="73"/>
      <c r="E821" s="45"/>
      <c r="F821" s="44"/>
      <c r="G821" s="45"/>
      <c r="I821" s="45"/>
      <c r="K821" s="45"/>
      <c r="M821" s="45"/>
      <c r="O821" s="45"/>
      <c r="Q821" s="45"/>
      <c r="W821" s="45"/>
      <c r="Y821" s="45"/>
      <c r="AA821" s="45"/>
      <c r="AE821" s="45"/>
      <c r="AG821" s="45"/>
      <c r="AI821" s="45"/>
      <c r="AK821" s="45"/>
      <c r="AM821" s="45"/>
    </row>
    <row r="822" spans="1:39" ht="12.75" customHeight="1">
      <c r="A822" s="24"/>
      <c r="C822" s="42"/>
      <c r="D822" s="73"/>
      <c r="E822" s="45"/>
      <c r="F822" s="44"/>
      <c r="G822" s="45"/>
      <c r="I822" s="45"/>
      <c r="K822" s="45"/>
      <c r="M822" s="45"/>
      <c r="O822" s="45"/>
      <c r="Q822" s="45"/>
      <c r="W822" s="45"/>
      <c r="Y822" s="45"/>
      <c r="AA822" s="45"/>
      <c r="AE822" s="45"/>
      <c r="AG822" s="45"/>
      <c r="AI822" s="45"/>
      <c r="AK822" s="45"/>
      <c r="AM822" s="45"/>
    </row>
    <row r="823" spans="1:39" ht="12.75" customHeight="1">
      <c r="A823" s="24"/>
      <c r="C823" s="42"/>
      <c r="D823" s="73"/>
      <c r="E823" s="45"/>
      <c r="F823" s="44"/>
      <c r="G823" s="45"/>
      <c r="I823" s="45"/>
      <c r="K823" s="45"/>
      <c r="M823" s="45"/>
      <c r="O823" s="45"/>
      <c r="Q823" s="45"/>
      <c r="W823" s="45"/>
      <c r="Y823" s="45"/>
      <c r="AA823" s="45"/>
      <c r="AE823" s="45"/>
      <c r="AG823" s="45"/>
      <c r="AI823" s="45"/>
      <c r="AK823" s="45"/>
      <c r="AM823" s="45"/>
    </row>
    <row r="824" spans="1:39" ht="12.75" customHeight="1">
      <c r="A824" s="24"/>
      <c r="C824" s="42"/>
      <c r="D824" s="73"/>
      <c r="E824" s="45"/>
      <c r="F824" s="44"/>
      <c r="G824" s="45"/>
      <c r="I824" s="45"/>
      <c r="K824" s="45"/>
      <c r="M824" s="45"/>
      <c r="O824" s="45"/>
      <c r="Q824" s="45"/>
      <c r="W824" s="45"/>
      <c r="Y824" s="45"/>
      <c r="AA824" s="45"/>
      <c r="AE824" s="45"/>
      <c r="AG824" s="45"/>
      <c r="AI824" s="45"/>
      <c r="AK824" s="45"/>
      <c r="AM824" s="45"/>
    </row>
    <row r="825" spans="1:39" ht="12.75" customHeight="1">
      <c r="A825" s="24"/>
      <c r="C825" s="42"/>
      <c r="D825" s="73"/>
      <c r="E825" s="45"/>
      <c r="F825" s="44"/>
      <c r="G825" s="45"/>
      <c r="I825" s="45"/>
      <c r="K825" s="45"/>
      <c r="M825" s="45"/>
      <c r="O825" s="45"/>
      <c r="Q825" s="45"/>
      <c r="W825" s="45"/>
      <c r="Y825" s="45"/>
      <c r="AA825" s="45"/>
      <c r="AE825" s="45"/>
      <c r="AG825" s="45"/>
      <c r="AI825" s="45"/>
      <c r="AK825" s="45"/>
      <c r="AM825" s="45"/>
    </row>
    <row r="826" spans="1:39" ht="12.75" customHeight="1">
      <c r="A826" s="24"/>
      <c r="C826" s="42"/>
      <c r="D826" s="73"/>
      <c r="E826" s="45"/>
      <c r="F826" s="44"/>
      <c r="G826" s="45"/>
      <c r="I826" s="45"/>
      <c r="K826" s="45"/>
      <c r="M826" s="45"/>
      <c r="O826" s="45"/>
      <c r="Q826" s="45"/>
      <c r="W826" s="45"/>
      <c r="Y826" s="45"/>
      <c r="AA826" s="45"/>
      <c r="AE826" s="45"/>
      <c r="AG826" s="45"/>
      <c r="AI826" s="45"/>
      <c r="AK826" s="45"/>
      <c r="AM826" s="45"/>
    </row>
    <row r="827" spans="1:39" ht="12.75" customHeight="1">
      <c r="A827" s="24"/>
      <c r="C827" s="42"/>
      <c r="D827" s="73"/>
      <c r="E827" s="45"/>
      <c r="F827" s="44"/>
      <c r="G827" s="45"/>
      <c r="I827" s="45"/>
      <c r="K827" s="45"/>
      <c r="M827" s="45"/>
      <c r="O827" s="45"/>
      <c r="Q827" s="45"/>
      <c r="W827" s="45"/>
      <c r="Y827" s="45"/>
      <c r="AA827" s="45"/>
      <c r="AE827" s="45"/>
      <c r="AG827" s="45"/>
      <c r="AI827" s="45"/>
      <c r="AK827" s="45"/>
      <c r="AM827" s="45"/>
    </row>
    <row r="828" spans="1:39" ht="12.75" customHeight="1">
      <c r="A828" s="24"/>
      <c r="C828" s="42"/>
      <c r="D828" s="73"/>
      <c r="E828" s="45"/>
      <c r="F828" s="44"/>
      <c r="G828" s="45"/>
      <c r="I828" s="45"/>
      <c r="K828" s="45"/>
      <c r="M828" s="45"/>
      <c r="O828" s="45"/>
      <c r="Q828" s="45"/>
      <c r="W828" s="45"/>
      <c r="Y828" s="45"/>
      <c r="AA828" s="45"/>
      <c r="AE828" s="45"/>
      <c r="AG828" s="45"/>
      <c r="AI828" s="45"/>
      <c r="AK828" s="45"/>
      <c r="AM828" s="45"/>
    </row>
    <row r="829" spans="1:39" ht="12.75" customHeight="1">
      <c r="A829" s="24"/>
      <c r="C829" s="42"/>
      <c r="D829" s="73"/>
      <c r="E829" s="45"/>
      <c r="F829" s="44"/>
      <c r="G829" s="45"/>
      <c r="I829" s="45"/>
      <c r="K829" s="45"/>
      <c r="M829" s="45"/>
      <c r="O829" s="45"/>
      <c r="Q829" s="45"/>
      <c r="W829" s="45"/>
      <c r="Y829" s="45"/>
      <c r="AA829" s="45"/>
      <c r="AE829" s="45"/>
      <c r="AG829" s="45"/>
      <c r="AI829" s="45"/>
      <c r="AK829" s="45"/>
      <c r="AM829" s="45"/>
    </row>
    <row r="830" spans="1:39" ht="12.75" customHeight="1">
      <c r="A830" s="24"/>
      <c r="C830" s="42"/>
      <c r="D830" s="73"/>
      <c r="E830" s="45"/>
      <c r="F830" s="44"/>
      <c r="G830" s="45"/>
      <c r="I830" s="45"/>
      <c r="K830" s="45"/>
      <c r="M830" s="45"/>
      <c r="O830" s="45"/>
      <c r="Q830" s="45"/>
      <c r="W830" s="45"/>
      <c r="Y830" s="45"/>
      <c r="AA830" s="45"/>
      <c r="AE830" s="45"/>
      <c r="AG830" s="45"/>
      <c r="AI830" s="45"/>
      <c r="AK830" s="45"/>
      <c r="AM830" s="45"/>
    </row>
    <row r="831" spans="1:39" ht="12.75" customHeight="1">
      <c r="A831" s="24"/>
      <c r="C831" s="42"/>
      <c r="D831" s="73"/>
      <c r="E831" s="45"/>
      <c r="F831" s="44"/>
      <c r="G831" s="45"/>
      <c r="I831" s="45"/>
      <c r="K831" s="45"/>
      <c r="M831" s="45"/>
      <c r="O831" s="45"/>
      <c r="Q831" s="45"/>
      <c r="W831" s="45"/>
      <c r="Y831" s="45"/>
      <c r="AA831" s="45"/>
      <c r="AE831" s="45"/>
      <c r="AG831" s="45"/>
      <c r="AI831" s="45"/>
      <c r="AK831" s="45"/>
      <c r="AM831" s="45"/>
    </row>
    <row r="832" spans="1:39" ht="12.75" customHeight="1">
      <c r="A832" s="24"/>
      <c r="C832" s="42"/>
      <c r="D832" s="73"/>
      <c r="E832" s="45"/>
      <c r="F832" s="44"/>
      <c r="G832" s="45"/>
      <c r="I832" s="45"/>
      <c r="K832" s="45"/>
      <c r="M832" s="45"/>
      <c r="O832" s="45"/>
      <c r="Q832" s="45"/>
      <c r="W832" s="45"/>
      <c r="Y832" s="45"/>
      <c r="AA832" s="45"/>
      <c r="AE832" s="45"/>
      <c r="AG832" s="45"/>
      <c r="AI832" s="45"/>
      <c r="AK832" s="45"/>
      <c r="AM832" s="45"/>
    </row>
    <row r="833" spans="1:39" ht="12.75" customHeight="1">
      <c r="A833" s="24"/>
      <c r="C833" s="42"/>
      <c r="D833" s="73"/>
      <c r="E833" s="45"/>
      <c r="F833" s="44"/>
      <c r="G833" s="45"/>
      <c r="I833" s="45"/>
      <c r="K833" s="45"/>
      <c r="M833" s="45"/>
      <c r="O833" s="45"/>
      <c r="Q833" s="45"/>
      <c r="W833" s="45"/>
      <c r="Y833" s="45"/>
      <c r="AA833" s="45"/>
      <c r="AE833" s="45"/>
      <c r="AG833" s="45"/>
      <c r="AI833" s="45"/>
      <c r="AK833" s="45"/>
      <c r="AM833" s="45"/>
    </row>
    <row r="834" spans="1:39" ht="12.75" customHeight="1">
      <c r="A834" s="24"/>
      <c r="C834" s="42"/>
      <c r="D834" s="73"/>
      <c r="E834" s="45"/>
      <c r="F834" s="44"/>
      <c r="G834" s="45"/>
      <c r="I834" s="45"/>
      <c r="K834" s="45"/>
      <c r="M834" s="45"/>
      <c r="O834" s="45"/>
      <c r="Q834" s="45"/>
      <c r="W834" s="45"/>
      <c r="Y834" s="45"/>
      <c r="AA834" s="45"/>
      <c r="AE834" s="45"/>
      <c r="AG834" s="45"/>
      <c r="AI834" s="45"/>
      <c r="AK834" s="45"/>
      <c r="AM834" s="45"/>
    </row>
    <row r="835" spans="1:39" ht="12.75" customHeight="1">
      <c r="A835" s="24"/>
      <c r="C835" s="42"/>
      <c r="D835" s="73"/>
      <c r="E835" s="45"/>
      <c r="F835" s="44"/>
      <c r="G835" s="45"/>
      <c r="I835" s="45"/>
      <c r="K835" s="45"/>
      <c r="M835" s="45"/>
      <c r="O835" s="45"/>
      <c r="Q835" s="45"/>
      <c r="W835" s="45"/>
      <c r="Y835" s="45"/>
      <c r="AA835" s="45"/>
      <c r="AE835" s="45"/>
      <c r="AG835" s="45"/>
      <c r="AI835" s="45"/>
      <c r="AK835" s="45"/>
      <c r="AM835" s="45"/>
    </row>
    <row r="836" spans="1:39" ht="12.75" customHeight="1">
      <c r="A836" s="24"/>
      <c r="C836" s="42"/>
      <c r="D836" s="73"/>
      <c r="E836" s="45"/>
      <c r="F836" s="44"/>
      <c r="G836" s="45"/>
      <c r="I836" s="45"/>
      <c r="K836" s="45"/>
      <c r="M836" s="45"/>
      <c r="O836" s="45"/>
      <c r="Q836" s="45"/>
      <c r="W836" s="45"/>
      <c r="Y836" s="45"/>
      <c r="AA836" s="45"/>
      <c r="AE836" s="45"/>
      <c r="AG836" s="45"/>
      <c r="AI836" s="45"/>
      <c r="AK836" s="45"/>
      <c r="AM836" s="45"/>
    </row>
    <row r="837" spans="1:39" ht="12.75" customHeight="1">
      <c r="A837" s="24"/>
      <c r="C837" s="42"/>
      <c r="D837" s="73"/>
      <c r="E837" s="45"/>
      <c r="F837" s="44"/>
      <c r="G837" s="45"/>
      <c r="I837" s="45"/>
      <c r="K837" s="45"/>
      <c r="M837" s="45"/>
      <c r="O837" s="45"/>
      <c r="Q837" s="45"/>
      <c r="W837" s="45"/>
      <c r="Y837" s="45"/>
      <c r="AA837" s="45"/>
      <c r="AE837" s="45"/>
      <c r="AG837" s="45"/>
      <c r="AI837" s="45"/>
      <c r="AK837" s="45"/>
      <c r="AM837" s="45"/>
    </row>
    <row r="838" spans="1:39" ht="12.75" customHeight="1">
      <c r="A838" s="24"/>
      <c r="C838" s="42"/>
      <c r="D838" s="73"/>
      <c r="E838" s="45"/>
      <c r="F838" s="44"/>
      <c r="G838" s="45"/>
      <c r="I838" s="45"/>
      <c r="K838" s="45"/>
      <c r="M838" s="45"/>
      <c r="O838" s="45"/>
      <c r="Q838" s="45"/>
      <c r="W838" s="45"/>
      <c r="Y838" s="45"/>
      <c r="AA838" s="45"/>
      <c r="AE838" s="45"/>
      <c r="AG838" s="45"/>
      <c r="AI838" s="45"/>
      <c r="AK838" s="45"/>
      <c r="AM838" s="45"/>
    </row>
    <row r="839" spans="1:39" ht="12.75" customHeight="1">
      <c r="A839" s="24"/>
      <c r="C839" s="42"/>
      <c r="D839" s="73"/>
      <c r="E839" s="45"/>
      <c r="F839" s="44"/>
      <c r="G839" s="45"/>
      <c r="I839" s="45"/>
      <c r="K839" s="45"/>
      <c r="M839" s="45"/>
      <c r="O839" s="45"/>
      <c r="Q839" s="45"/>
      <c r="W839" s="45"/>
      <c r="Y839" s="45"/>
      <c r="AA839" s="45"/>
      <c r="AE839" s="45"/>
      <c r="AG839" s="45"/>
      <c r="AI839" s="45"/>
      <c r="AK839" s="45"/>
      <c r="AM839" s="45"/>
    </row>
    <row r="840" spans="1:39" ht="12.75" customHeight="1">
      <c r="A840" s="24"/>
      <c r="C840" s="42"/>
      <c r="D840" s="73"/>
      <c r="E840" s="45"/>
      <c r="F840" s="44"/>
      <c r="G840" s="45"/>
      <c r="I840" s="45"/>
      <c r="K840" s="45"/>
      <c r="M840" s="45"/>
      <c r="O840" s="45"/>
      <c r="Q840" s="45"/>
      <c r="W840" s="45"/>
      <c r="Y840" s="45"/>
      <c r="AA840" s="45"/>
      <c r="AE840" s="45"/>
      <c r="AG840" s="45"/>
      <c r="AI840" s="45"/>
      <c r="AK840" s="45"/>
      <c r="AM840" s="45"/>
    </row>
    <row r="841" spans="1:39" ht="12.75" customHeight="1">
      <c r="A841" s="24"/>
      <c r="C841" s="42"/>
      <c r="D841" s="73"/>
      <c r="E841" s="45"/>
      <c r="F841" s="44"/>
      <c r="G841" s="45"/>
      <c r="I841" s="45"/>
      <c r="K841" s="45"/>
      <c r="M841" s="45"/>
      <c r="O841" s="45"/>
      <c r="Q841" s="45"/>
      <c r="W841" s="45"/>
      <c r="Y841" s="45"/>
      <c r="AA841" s="45"/>
      <c r="AE841" s="45"/>
      <c r="AG841" s="45"/>
      <c r="AI841" s="45"/>
      <c r="AK841" s="45"/>
      <c r="AM841" s="45"/>
    </row>
    <row r="842" spans="1:39" ht="12.75" customHeight="1">
      <c r="A842" s="24"/>
      <c r="C842" s="42"/>
      <c r="D842" s="73"/>
      <c r="E842" s="45"/>
      <c r="F842" s="44"/>
      <c r="G842" s="45"/>
      <c r="I842" s="45"/>
      <c r="K842" s="45"/>
      <c r="M842" s="45"/>
      <c r="O842" s="45"/>
      <c r="Q842" s="45"/>
      <c r="W842" s="45"/>
      <c r="Y842" s="45"/>
      <c r="AA842" s="45"/>
      <c r="AE842" s="45"/>
      <c r="AG842" s="45"/>
      <c r="AI842" s="45"/>
      <c r="AK842" s="45"/>
      <c r="AM842" s="45"/>
    </row>
    <row r="843" spans="1:39" ht="12.75" customHeight="1">
      <c r="A843" s="24"/>
      <c r="C843" s="42"/>
      <c r="D843" s="73"/>
      <c r="E843" s="45"/>
      <c r="F843" s="44"/>
      <c r="G843" s="45"/>
      <c r="I843" s="45"/>
      <c r="K843" s="45"/>
      <c r="M843" s="45"/>
      <c r="O843" s="45"/>
      <c r="Q843" s="45"/>
      <c r="W843" s="45"/>
      <c r="Y843" s="45"/>
      <c r="AA843" s="45"/>
      <c r="AE843" s="45"/>
      <c r="AG843" s="45"/>
      <c r="AI843" s="45"/>
      <c r="AK843" s="45"/>
      <c r="AM843" s="45"/>
    </row>
    <row r="844" spans="1:39" ht="12.75" customHeight="1">
      <c r="A844" s="24"/>
      <c r="C844" s="42"/>
      <c r="D844" s="73"/>
      <c r="E844" s="45"/>
      <c r="F844" s="44"/>
      <c r="G844" s="45"/>
      <c r="I844" s="45"/>
      <c r="K844" s="45"/>
      <c r="M844" s="45"/>
      <c r="O844" s="45"/>
      <c r="Q844" s="45"/>
      <c r="W844" s="45"/>
      <c r="Y844" s="45"/>
      <c r="AA844" s="45"/>
      <c r="AE844" s="45"/>
      <c r="AG844" s="45"/>
      <c r="AI844" s="45"/>
      <c r="AK844" s="45"/>
      <c r="AM844" s="45"/>
    </row>
    <row r="845" spans="1:39" ht="12.75" customHeight="1">
      <c r="A845" s="24"/>
      <c r="C845" s="42"/>
      <c r="D845" s="73"/>
      <c r="E845" s="45"/>
      <c r="F845" s="44"/>
      <c r="G845" s="45"/>
      <c r="I845" s="45"/>
      <c r="K845" s="45"/>
      <c r="M845" s="45"/>
      <c r="O845" s="45"/>
      <c r="Q845" s="45"/>
      <c r="W845" s="45"/>
      <c r="Y845" s="45"/>
      <c r="AA845" s="45"/>
      <c r="AE845" s="45"/>
      <c r="AG845" s="45"/>
      <c r="AI845" s="45"/>
      <c r="AK845" s="45"/>
      <c r="AM845" s="45"/>
    </row>
    <row r="846" spans="1:39" ht="12.75" customHeight="1">
      <c r="A846" s="24"/>
      <c r="C846" s="42"/>
      <c r="D846" s="73"/>
      <c r="E846" s="45"/>
      <c r="F846" s="44"/>
      <c r="G846" s="45"/>
      <c r="I846" s="45"/>
      <c r="K846" s="45"/>
      <c r="M846" s="45"/>
      <c r="O846" s="45"/>
      <c r="Q846" s="45"/>
      <c r="W846" s="45"/>
      <c r="Y846" s="45"/>
      <c r="AA846" s="45"/>
      <c r="AE846" s="45"/>
      <c r="AG846" s="45"/>
      <c r="AI846" s="45"/>
      <c r="AK846" s="45"/>
      <c r="AM846" s="45"/>
    </row>
    <row r="847" spans="1:39" ht="12.75" customHeight="1">
      <c r="A847" s="24"/>
      <c r="C847" s="42"/>
      <c r="D847" s="73"/>
      <c r="E847" s="45"/>
      <c r="F847" s="44"/>
      <c r="G847" s="45"/>
      <c r="I847" s="45"/>
      <c r="K847" s="45"/>
      <c r="M847" s="45"/>
      <c r="O847" s="45"/>
      <c r="Q847" s="45"/>
      <c r="W847" s="45"/>
      <c r="Y847" s="45"/>
      <c r="AA847" s="45"/>
      <c r="AE847" s="45"/>
      <c r="AG847" s="45"/>
      <c r="AI847" s="45"/>
      <c r="AK847" s="45"/>
      <c r="AM847" s="45"/>
    </row>
    <row r="848" spans="1:39" ht="12.75" customHeight="1">
      <c r="A848" s="24"/>
      <c r="C848" s="42"/>
      <c r="D848" s="73"/>
      <c r="E848" s="45"/>
      <c r="F848" s="44"/>
      <c r="G848" s="45"/>
      <c r="I848" s="45"/>
      <c r="K848" s="45"/>
      <c r="M848" s="45"/>
      <c r="O848" s="45"/>
      <c r="Q848" s="45"/>
      <c r="W848" s="45"/>
      <c r="Y848" s="45"/>
      <c r="AA848" s="45"/>
      <c r="AE848" s="45"/>
      <c r="AG848" s="45"/>
      <c r="AI848" s="45"/>
      <c r="AK848" s="45"/>
      <c r="AM848" s="45"/>
    </row>
    <row r="849" spans="1:39" ht="12.75" customHeight="1">
      <c r="A849" s="24"/>
      <c r="C849" s="42"/>
      <c r="D849" s="73"/>
      <c r="E849" s="45"/>
      <c r="F849" s="44"/>
      <c r="G849" s="45"/>
      <c r="I849" s="45"/>
      <c r="K849" s="45"/>
      <c r="M849" s="45"/>
      <c r="O849" s="45"/>
      <c r="Q849" s="45"/>
      <c r="W849" s="45"/>
      <c r="Y849" s="45"/>
      <c r="AA849" s="45"/>
      <c r="AE849" s="45"/>
      <c r="AG849" s="45"/>
      <c r="AI849" s="45"/>
      <c r="AK849" s="45"/>
      <c r="AM849" s="45"/>
    </row>
    <row r="850" spans="1:39" ht="12.75" customHeight="1">
      <c r="A850" s="24"/>
      <c r="C850" s="42"/>
      <c r="D850" s="73"/>
      <c r="E850" s="45"/>
      <c r="F850" s="44"/>
      <c r="G850" s="45"/>
      <c r="I850" s="45"/>
      <c r="K850" s="45"/>
      <c r="M850" s="45"/>
      <c r="O850" s="45"/>
      <c r="Q850" s="45"/>
      <c r="W850" s="45"/>
      <c r="Y850" s="45"/>
      <c r="AA850" s="45"/>
      <c r="AE850" s="45"/>
      <c r="AG850" s="45"/>
      <c r="AI850" s="45"/>
      <c r="AK850" s="45"/>
      <c r="AM850" s="45"/>
    </row>
    <row r="851" spans="1:39" ht="12.75" customHeight="1">
      <c r="A851" s="24"/>
      <c r="C851" s="42"/>
      <c r="D851" s="73"/>
      <c r="E851" s="45"/>
      <c r="F851" s="44"/>
      <c r="G851" s="45"/>
      <c r="I851" s="45"/>
      <c r="K851" s="45"/>
      <c r="M851" s="45"/>
      <c r="O851" s="45"/>
      <c r="Q851" s="45"/>
      <c r="W851" s="45"/>
      <c r="Y851" s="45"/>
      <c r="AA851" s="45"/>
      <c r="AE851" s="45"/>
      <c r="AG851" s="45"/>
      <c r="AI851" s="45"/>
      <c r="AK851" s="45"/>
      <c r="AM851" s="45"/>
    </row>
    <row r="852" spans="1:39" ht="12.75" customHeight="1">
      <c r="A852" s="24"/>
      <c r="C852" s="42"/>
      <c r="D852" s="73"/>
      <c r="E852" s="45"/>
      <c r="F852" s="44"/>
      <c r="G852" s="45"/>
      <c r="I852" s="45"/>
      <c r="K852" s="45"/>
      <c r="M852" s="45"/>
      <c r="O852" s="45"/>
      <c r="Q852" s="45"/>
      <c r="W852" s="45"/>
      <c r="Y852" s="45"/>
      <c r="AA852" s="45"/>
      <c r="AE852" s="45"/>
      <c r="AG852" s="45"/>
      <c r="AI852" s="45"/>
      <c r="AK852" s="45"/>
      <c r="AM852" s="45"/>
    </row>
    <row r="853" spans="1:39" ht="12.75" customHeight="1">
      <c r="A853" s="24"/>
      <c r="C853" s="42"/>
      <c r="D853" s="73"/>
      <c r="E853" s="45"/>
      <c r="F853" s="44"/>
      <c r="G853" s="45"/>
      <c r="I853" s="45"/>
      <c r="K853" s="45"/>
      <c r="M853" s="45"/>
      <c r="O853" s="45"/>
      <c r="Q853" s="45"/>
      <c r="W853" s="45"/>
      <c r="Y853" s="45"/>
      <c r="AA853" s="45"/>
      <c r="AE853" s="45"/>
      <c r="AG853" s="45"/>
      <c r="AI853" s="45"/>
      <c r="AK853" s="45"/>
      <c r="AM853" s="45"/>
    </row>
    <row r="854" spans="1:39" ht="12.75" customHeight="1">
      <c r="A854" s="24"/>
      <c r="C854" s="42"/>
      <c r="D854" s="73"/>
      <c r="E854" s="45"/>
      <c r="F854" s="44"/>
      <c r="G854" s="45"/>
      <c r="I854" s="45"/>
      <c r="K854" s="45"/>
      <c r="M854" s="45"/>
      <c r="O854" s="45"/>
      <c r="Q854" s="45"/>
      <c r="W854" s="45"/>
      <c r="Y854" s="45"/>
      <c r="AA854" s="45"/>
      <c r="AE854" s="45"/>
      <c r="AG854" s="45"/>
      <c r="AI854" s="45"/>
      <c r="AK854" s="45"/>
      <c r="AM854" s="45"/>
    </row>
    <row r="855" spans="1:39" ht="12.75" customHeight="1">
      <c r="A855" s="24"/>
      <c r="C855" s="42"/>
      <c r="D855" s="73"/>
      <c r="E855" s="45"/>
      <c r="F855" s="44"/>
      <c r="G855" s="45"/>
      <c r="I855" s="45"/>
      <c r="K855" s="45"/>
      <c r="M855" s="45"/>
      <c r="O855" s="45"/>
      <c r="Q855" s="45"/>
      <c r="W855" s="45"/>
      <c r="Y855" s="45"/>
      <c r="AA855" s="45"/>
      <c r="AE855" s="45"/>
      <c r="AG855" s="45"/>
      <c r="AI855" s="45"/>
      <c r="AK855" s="45"/>
      <c r="AM855" s="45"/>
    </row>
    <row r="856" spans="1:39" ht="12.75" customHeight="1">
      <c r="A856" s="24"/>
      <c r="C856" s="42"/>
      <c r="D856" s="73"/>
      <c r="E856" s="45"/>
      <c r="F856" s="44"/>
      <c r="G856" s="45"/>
      <c r="I856" s="45"/>
      <c r="K856" s="45"/>
      <c r="M856" s="45"/>
      <c r="O856" s="45"/>
      <c r="Q856" s="45"/>
      <c r="W856" s="45"/>
      <c r="Y856" s="45"/>
      <c r="AA856" s="45"/>
      <c r="AE856" s="45"/>
      <c r="AG856" s="45"/>
      <c r="AI856" s="45"/>
      <c r="AK856" s="45"/>
      <c r="AM856" s="45"/>
    </row>
    <row r="857" spans="1:39" ht="12.75" customHeight="1">
      <c r="A857" s="24"/>
      <c r="C857" s="42"/>
      <c r="D857" s="73"/>
      <c r="E857" s="45"/>
      <c r="F857" s="44"/>
      <c r="G857" s="45"/>
      <c r="I857" s="45"/>
      <c r="K857" s="45"/>
      <c r="M857" s="45"/>
      <c r="O857" s="45"/>
      <c r="Q857" s="45"/>
      <c r="W857" s="45"/>
      <c r="Y857" s="45"/>
      <c r="AA857" s="45"/>
      <c r="AE857" s="45"/>
      <c r="AG857" s="45"/>
      <c r="AI857" s="45"/>
      <c r="AK857" s="45"/>
      <c r="AM857" s="45"/>
    </row>
    <row r="858" spans="1:39" ht="12.75" customHeight="1">
      <c r="A858" s="24"/>
      <c r="C858" s="42"/>
      <c r="D858" s="73"/>
      <c r="E858" s="45"/>
      <c r="F858" s="44"/>
      <c r="G858" s="45"/>
      <c r="I858" s="45"/>
      <c r="K858" s="45"/>
      <c r="M858" s="45"/>
      <c r="O858" s="45"/>
      <c r="Q858" s="45"/>
      <c r="W858" s="45"/>
      <c r="Y858" s="45"/>
      <c r="AA858" s="45"/>
      <c r="AE858" s="45"/>
      <c r="AG858" s="45"/>
      <c r="AI858" s="45"/>
      <c r="AK858" s="45"/>
      <c r="AM858" s="45"/>
    </row>
    <row r="859" spans="1:39" ht="12.75" customHeight="1">
      <c r="A859" s="24"/>
      <c r="C859" s="42"/>
      <c r="D859" s="73"/>
      <c r="E859" s="45"/>
      <c r="F859" s="44"/>
      <c r="G859" s="45"/>
      <c r="I859" s="45"/>
      <c r="K859" s="45"/>
      <c r="M859" s="45"/>
      <c r="O859" s="45"/>
      <c r="Q859" s="45"/>
      <c r="W859" s="45"/>
      <c r="Y859" s="45"/>
      <c r="AA859" s="45"/>
      <c r="AE859" s="45"/>
      <c r="AG859" s="45"/>
      <c r="AI859" s="45"/>
      <c r="AK859" s="45"/>
      <c r="AM859" s="45"/>
    </row>
    <row r="860" spans="1:39" ht="12.75" customHeight="1">
      <c r="A860" s="24"/>
      <c r="C860" s="42"/>
      <c r="D860" s="73"/>
      <c r="E860" s="45"/>
      <c r="F860" s="44"/>
      <c r="G860" s="45"/>
      <c r="I860" s="45"/>
      <c r="K860" s="45"/>
      <c r="M860" s="45"/>
      <c r="O860" s="45"/>
      <c r="Q860" s="45"/>
      <c r="W860" s="45"/>
      <c r="Y860" s="45"/>
      <c r="AA860" s="45"/>
      <c r="AE860" s="45"/>
      <c r="AG860" s="45"/>
      <c r="AI860" s="45"/>
      <c r="AK860" s="45"/>
      <c r="AM860" s="45"/>
    </row>
    <row r="861" spans="1:39" ht="12.75" customHeight="1">
      <c r="A861" s="24"/>
      <c r="C861" s="42"/>
      <c r="D861" s="73"/>
      <c r="E861" s="45"/>
      <c r="F861" s="44"/>
      <c r="G861" s="45"/>
      <c r="I861" s="45"/>
      <c r="K861" s="45"/>
      <c r="M861" s="45"/>
      <c r="O861" s="45"/>
      <c r="Q861" s="45"/>
      <c r="W861" s="45"/>
      <c r="Y861" s="45"/>
      <c r="AA861" s="45"/>
      <c r="AE861" s="45"/>
      <c r="AG861" s="45"/>
      <c r="AI861" s="45"/>
      <c r="AK861" s="45"/>
      <c r="AM861" s="45"/>
    </row>
    <row r="862" spans="1:39" ht="12.75" customHeight="1">
      <c r="A862" s="24"/>
      <c r="C862" s="42"/>
      <c r="D862" s="73"/>
      <c r="E862" s="45"/>
      <c r="F862" s="44"/>
      <c r="G862" s="45"/>
      <c r="I862" s="45"/>
      <c r="K862" s="45"/>
      <c r="M862" s="45"/>
      <c r="O862" s="45"/>
      <c r="Q862" s="45"/>
      <c r="W862" s="45"/>
      <c r="Y862" s="45"/>
      <c r="AA862" s="45"/>
      <c r="AE862" s="45"/>
      <c r="AG862" s="45"/>
      <c r="AI862" s="45"/>
      <c r="AK862" s="45"/>
      <c r="AM862" s="45"/>
    </row>
    <row r="863" spans="1:39" ht="12.75" customHeight="1">
      <c r="A863" s="24"/>
      <c r="C863" s="42"/>
      <c r="D863" s="73"/>
      <c r="E863" s="45"/>
      <c r="F863" s="44"/>
      <c r="G863" s="45"/>
      <c r="I863" s="45"/>
      <c r="K863" s="45"/>
      <c r="M863" s="45"/>
      <c r="O863" s="45"/>
      <c r="Q863" s="45"/>
      <c r="W863" s="45"/>
      <c r="Y863" s="45"/>
      <c r="AA863" s="45"/>
      <c r="AE863" s="45"/>
      <c r="AG863" s="45"/>
      <c r="AI863" s="45"/>
      <c r="AK863" s="45"/>
      <c r="AM863" s="45"/>
    </row>
    <row r="864" spans="1:39" ht="12.75" customHeight="1">
      <c r="A864" s="24"/>
      <c r="C864" s="42"/>
      <c r="D864" s="73"/>
      <c r="E864" s="45"/>
      <c r="F864" s="44"/>
      <c r="G864" s="45"/>
      <c r="I864" s="45"/>
      <c r="K864" s="45"/>
      <c r="M864" s="45"/>
      <c r="O864" s="45"/>
      <c r="Q864" s="45"/>
      <c r="W864" s="45"/>
      <c r="Y864" s="45"/>
      <c r="AA864" s="45"/>
      <c r="AE864" s="45"/>
      <c r="AG864" s="45"/>
      <c r="AI864" s="45"/>
      <c r="AK864" s="45"/>
      <c r="AM864" s="45"/>
    </row>
    <row r="865" spans="1:39" ht="12.75" customHeight="1">
      <c r="A865" s="24"/>
      <c r="C865" s="42"/>
      <c r="D865" s="73"/>
      <c r="E865" s="45"/>
      <c r="F865" s="44"/>
      <c r="G865" s="45"/>
      <c r="I865" s="45"/>
      <c r="K865" s="45"/>
      <c r="M865" s="45"/>
      <c r="O865" s="45"/>
      <c r="Q865" s="45"/>
      <c r="W865" s="45"/>
      <c r="Y865" s="45"/>
      <c r="AA865" s="45"/>
      <c r="AE865" s="45"/>
      <c r="AG865" s="45"/>
      <c r="AI865" s="45"/>
      <c r="AK865" s="45"/>
      <c r="AM865" s="45"/>
    </row>
    <row r="866" spans="1:39" ht="12.75" customHeight="1">
      <c r="A866" s="24"/>
      <c r="C866" s="42"/>
      <c r="D866" s="73"/>
      <c r="E866" s="45"/>
      <c r="F866" s="44"/>
      <c r="G866" s="45"/>
      <c r="I866" s="45"/>
      <c r="K866" s="45"/>
      <c r="M866" s="45"/>
      <c r="O866" s="45"/>
      <c r="Q866" s="45"/>
      <c r="W866" s="45"/>
      <c r="Y866" s="45"/>
      <c r="AA866" s="45"/>
      <c r="AE866" s="45"/>
      <c r="AG866" s="45"/>
      <c r="AI866" s="45"/>
      <c r="AK866" s="45"/>
      <c r="AM866" s="45"/>
    </row>
    <row r="867" spans="1:39" ht="12.75" customHeight="1">
      <c r="A867" s="24"/>
      <c r="C867" s="42"/>
      <c r="D867" s="73"/>
      <c r="E867" s="45"/>
      <c r="F867" s="44"/>
      <c r="G867" s="45"/>
      <c r="I867" s="45"/>
      <c r="K867" s="45"/>
      <c r="M867" s="45"/>
      <c r="O867" s="45"/>
      <c r="Q867" s="45"/>
      <c r="W867" s="45"/>
      <c r="Y867" s="45"/>
      <c r="AA867" s="45"/>
      <c r="AE867" s="45"/>
      <c r="AG867" s="45"/>
      <c r="AI867" s="45"/>
      <c r="AK867" s="45"/>
      <c r="AM867" s="45"/>
    </row>
    <row r="868" spans="1:39" ht="12.75" customHeight="1">
      <c r="A868" s="24"/>
      <c r="C868" s="42"/>
      <c r="D868" s="73"/>
      <c r="E868" s="45"/>
      <c r="F868" s="44"/>
      <c r="G868" s="45"/>
      <c r="I868" s="45"/>
      <c r="K868" s="45"/>
      <c r="M868" s="45"/>
      <c r="O868" s="45"/>
      <c r="Q868" s="45"/>
      <c r="W868" s="45"/>
      <c r="Y868" s="45"/>
      <c r="AA868" s="45"/>
      <c r="AE868" s="45"/>
      <c r="AG868" s="45"/>
      <c r="AI868" s="45"/>
      <c r="AK868" s="45"/>
      <c r="AM868" s="45"/>
    </row>
    <row r="869" spans="1:39" ht="12.75" customHeight="1">
      <c r="A869" s="24"/>
      <c r="C869" s="42"/>
      <c r="D869" s="73"/>
      <c r="E869" s="45"/>
      <c r="F869" s="44"/>
      <c r="G869" s="45"/>
      <c r="I869" s="45"/>
      <c r="K869" s="45"/>
      <c r="M869" s="45"/>
      <c r="O869" s="45"/>
      <c r="Q869" s="45"/>
      <c r="W869" s="45"/>
      <c r="Y869" s="45"/>
      <c r="AA869" s="45"/>
      <c r="AE869" s="45"/>
      <c r="AG869" s="45"/>
      <c r="AI869" s="45"/>
      <c r="AK869" s="45"/>
      <c r="AM869" s="45"/>
    </row>
    <row r="870" spans="1:39" ht="12.75" customHeight="1">
      <c r="A870" s="24"/>
      <c r="C870" s="42"/>
      <c r="D870" s="73"/>
      <c r="E870" s="45"/>
      <c r="F870" s="44"/>
      <c r="G870" s="45"/>
      <c r="I870" s="45"/>
      <c r="K870" s="45"/>
      <c r="M870" s="45"/>
      <c r="O870" s="45"/>
      <c r="Q870" s="45"/>
      <c r="W870" s="45"/>
      <c r="Y870" s="45"/>
      <c r="AA870" s="45"/>
      <c r="AE870" s="45"/>
      <c r="AG870" s="45"/>
      <c r="AI870" s="45"/>
      <c r="AK870" s="45"/>
      <c r="AM870" s="45"/>
    </row>
    <row r="871" spans="1:39" ht="12.75" customHeight="1">
      <c r="A871" s="24"/>
      <c r="C871" s="42"/>
      <c r="D871" s="73"/>
      <c r="E871" s="45"/>
      <c r="F871" s="44"/>
      <c r="G871" s="45"/>
      <c r="I871" s="45"/>
      <c r="K871" s="45"/>
      <c r="M871" s="45"/>
      <c r="O871" s="45"/>
      <c r="Q871" s="45"/>
      <c r="W871" s="45"/>
      <c r="Y871" s="45"/>
      <c r="AA871" s="45"/>
      <c r="AE871" s="45"/>
      <c r="AG871" s="45"/>
      <c r="AI871" s="45"/>
      <c r="AK871" s="45"/>
      <c r="AM871" s="45"/>
    </row>
    <row r="872" spans="1:39" ht="12.75" customHeight="1">
      <c r="A872" s="24"/>
      <c r="C872" s="42"/>
      <c r="D872" s="73"/>
      <c r="E872" s="45"/>
      <c r="F872" s="44"/>
      <c r="G872" s="45"/>
      <c r="I872" s="45"/>
      <c r="K872" s="45"/>
      <c r="M872" s="45"/>
      <c r="O872" s="45"/>
      <c r="Q872" s="45"/>
      <c r="W872" s="45"/>
      <c r="Y872" s="45"/>
      <c r="AA872" s="45"/>
      <c r="AE872" s="45"/>
      <c r="AG872" s="45"/>
      <c r="AI872" s="45"/>
      <c r="AK872" s="45"/>
      <c r="AM872" s="45"/>
    </row>
    <row r="873" spans="1:39" ht="12.75" customHeight="1">
      <c r="A873" s="24"/>
      <c r="C873" s="42"/>
      <c r="D873" s="73"/>
      <c r="E873" s="45"/>
      <c r="F873" s="44"/>
      <c r="G873" s="45"/>
      <c r="I873" s="45"/>
      <c r="K873" s="45"/>
      <c r="M873" s="45"/>
      <c r="O873" s="45"/>
      <c r="Q873" s="45"/>
      <c r="W873" s="45"/>
      <c r="Y873" s="45"/>
      <c r="AA873" s="45"/>
      <c r="AE873" s="45"/>
      <c r="AG873" s="45"/>
      <c r="AI873" s="45"/>
      <c r="AK873" s="45"/>
      <c r="AM873" s="45"/>
    </row>
    <row r="874" spans="1:39" ht="12.75" customHeight="1">
      <c r="A874" s="24"/>
      <c r="C874" s="42"/>
      <c r="D874" s="73"/>
      <c r="E874" s="45"/>
      <c r="F874" s="44"/>
      <c r="G874" s="45"/>
      <c r="I874" s="45"/>
      <c r="K874" s="45"/>
      <c r="M874" s="45"/>
      <c r="O874" s="45"/>
      <c r="Q874" s="45"/>
      <c r="W874" s="45"/>
      <c r="Y874" s="45"/>
      <c r="AA874" s="45"/>
      <c r="AE874" s="45"/>
      <c r="AG874" s="45"/>
      <c r="AI874" s="45"/>
      <c r="AK874" s="45"/>
      <c r="AM874" s="45"/>
    </row>
    <row r="875" spans="1:39" ht="12.75" customHeight="1">
      <c r="A875" s="24"/>
      <c r="C875" s="42"/>
      <c r="D875" s="73"/>
      <c r="E875" s="45"/>
      <c r="F875" s="44"/>
      <c r="G875" s="45"/>
      <c r="I875" s="45"/>
      <c r="K875" s="45"/>
      <c r="M875" s="45"/>
      <c r="O875" s="45"/>
      <c r="Q875" s="45"/>
      <c r="W875" s="45"/>
      <c r="Y875" s="45"/>
      <c r="AA875" s="45"/>
      <c r="AE875" s="45"/>
      <c r="AG875" s="45"/>
      <c r="AI875" s="45"/>
      <c r="AK875" s="45"/>
      <c r="AM875" s="45"/>
    </row>
    <row r="876" spans="1:39" ht="12.75" customHeight="1">
      <c r="A876" s="24"/>
      <c r="C876" s="42"/>
      <c r="D876" s="73"/>
      <c r="E876" s="45"/>
      <c r="F876" s="44"/>
      <c r="G876" s="45"/>
      <c r="I876" s="45"/>
      <c r="K876" s="45"/>
      <c r="M876" s="45"/>
      <c r="O876" s="45"/>
      <c r="Q876" s="45"/>
      <c r="W876" s="45"/>
      <c r="Y876" s="45"/>
      <c r="AA876" s="45"/>
      <c r="AE876" s="45"/>
      <c r="AG876" s="45"/>
      <c r="AI876" s="45"/>
      <c r="AK876" s="45"/>
      <c r="AM876" s="45"/>
    </row>
    <row r="877" spans="1:39" ht="12.75" customHeight="1">
      <c r="A877" s="24"/>
      <c r="C877" s="42"/>
      <c r="D877" s="73"/>
      <c r="E877" s="45"/>
      <c r="F877" s="44"/>
      <c r="G877" s="45"/>
      <c r="I877" s="45"/>
      <c r="K877" s="45"/>
      <c r="M877" s="45"/>
      <c r="O877" s="45"/>
      <c r="Q877" s="45"/>
      <c r="W877" s="45"/>
      <c r="Y877" s="45"/>
      <c r="AA877" s="45"/>
      <c r="AE877" s="45"/>
      <c r="AG877" s="45"/>
      <c r="AI877" s="45"/>
      <c r="AK877" s="45"/>
      <c r="AM877" s="45"/>
    </row>
    <row r="878" spans="1:39" ht="12.75" customHeight="1">
      <c r="A878" s="24"/>
      <c r="C878" s="42"/>
      <c r="D878" s="73"/>
      <c r="E878" s="45"/>
      <c r="F878" s="44"/>
      <c r="G878" s="45"/>
      <c r="I878" s="45"/>
      <c r="K878" s="45"/>
      <c r="M878" s="45"/>
      <c r="O878" s="45"/>
      <c r="Q878" s="45"/>
      <c r="W878" s="45"/>
      <c r="Y878" s="45"/>
      <c r="AA878" s="45"/>
      <c r="AE878" s="45"/>
      <c r="AG878" s="45"/>
      <c r="AI878" s="45"/>
      <c r="AK878" s="45"/>
      <c r="AM878" s="45"/>
    </row>
    <row r="879" spans="1:39" ht="12.75" customHeight="1">
      <c r="A879" s="24"/>
      <c r="C879" s="42"/>
      <c r="D879" s="73"/>
      <c r="E879" s="45"/>
      <c r="F879" s="44"/>
      <c r="G879" s="45"/>
      <c r="I879" s="45"/>
      <c r="K879" s="45"/>
      <c r="M879" s="45"/>
      <c r="O879" s="45"/>
      <c r="Q879" s="45"/>
      <c r="W879" s="45"/>
      <c r="Y879" s="45"/>
      <c r="AA879" s="45"/>
      <c r="AE879" s="45"/>
      <c r="AG879" s="45"/>
      <c r="AI879" s="45"/>
      <c r="AK879" s="45"/>
      <c r="AM879" s="45"/>
    </row>
    <row r="880" spans="1:39" ht="12.75" customHeight="1">
      <c r="A880" s="24"/>
      <c r="C880" s="42"/>
      <c r="D880" s="73"/>
      <c r="E880" s="45"/>
      <c r="F880" s="44"/>
      <c r="G880" s="45"/>
      <c r="I880" s="45"/>
      <c r="K880" s="45"/>
      <c r="M880" s="45"/>
      <c r="O880" s="45"/>
      <c r="Q880" s="45"/>
      <c r="W880" s="45"/>
      <c r="Y880" s="45"/>
      <c r="AA880" s="45"/>
      <c r="AE880" s="45"/>
      <c r="AG880" s="45"/>
      <c r="AI880" s="45"/>
      <c r="AK880" s="45"/>
      <c r="AM880" s="45"/>
    </row>
    <row r="881" spans="1:39" ht="12.75" customHeight="1">
      <c r="A881" s="24"/>
      <c r="C881" s="42"/>
      <c r="D881" s="73"/>
      <c r="E881" s="45"/>
      <c r="F881" s="44"/>
      <c r="G881" s="45"/>
      <c r="I881" s="45"/>
      <c r="K881" s="45"/>
      <c r="M881" s="45"/>
      <c r="O881" s="45"/>
      <c r="Q881" s="45"/>
      <c r="W881" s="45"/>
      <c r="Y881" s="45"/>
      <c r="AA881" s="45"/>
      <c r="AE881" s="45"/>
      <c r="AG881" s="45"/>
      <c r="AI881" s="45"/>
      <c r="AK881" s="45"/>
      <c r="AM881" s="45"/>
    </row>
    <row r="882" spans="1:39" ht="12.75" customHeight="1">
      <c r="A882" s="24"/>
      <c r="C882" s="42"/>
      <c r="D882" s="73"/>
      <c r="E882" s="45"/>
      <c r="F882" s="44"/>
      <c r="G882" s="45"/>
      <c r="I882" s="45"/>
      <c r="K882" s="45"/>
      <c r="M882" s="45"/>
      <c r="O882" s="45"/>
      <c r="Q882" s="45"/>
      <c r="W882" s="45"/>
      <c r="Y882" s="45"/>
      <c r="AA882" s="45"/>
      <c r="AE882" s="45"/>
      <c r="AG882" s="45"/>
      <c r="AI882" s="45"/>
      <c r="AK882" s="45"/>
      <c r="AM882" s="45"/>
    </row>
    <row r="883" spans="1:39" ht="12.75" customHeight="1">
      <c r="A883" s="24"/>
      <c r="C883" s="42"/>
      <c r="D883" s="73"/>
      <c r="E883" s="45"/>
      <c r="F883" s="44"/>
      <c r="G883" s="45"/>
      <c r="I883" s="45"/>
      <c r="K883" s="45"/>
      <c r="M883" s="45"/>
      <c r="O883" s="45"/>
      <c r="Q883" s="45"/>
      <c r="W883" s="45"/>
      <c r="Y883" s="45"/>
      <c r="AA883" s="45"/>
      <c r="AE883" s="45"/>
      <c r="AG883" s="45"/>
      <c r="AI883" s="45"/>
      <c r="AK883" s="45"/>
      <c r="AM883" s="45"/>
    </row>
    <row r="884" spans="1:39" ht="12.75" customHeight="1">
      <c r="A884" s="24"/>
      <c r="C884" s="42"/>
      <c r="D884" s="73"/>
      <c r="E884" s="45"/>
      <c r="F884" s="44"/>
      <c r="G884" s="45"/>
      <c r="I884" s="45"/>
      <c r="K884" s="45"/>
      <c r="M884" s="45"/>
      <c r="O884" s="45"/>
      <c r="Q884" s="45"/>
      <c r="W884" s="45"/>
      <c r="Y884" s="45"/>
      <c r="AA884" s="45"/>
      <c r="AE884" s="45"/>
      <c r="AG884" s="45"/>
      <c r="AI884" s="45"/>
      <c r="AK884" s="45"/>
      <c r="AM884" s="45"/>
    </row>
    <row r="885" spans="1:39" ht="12.75" customHeight="1">
      <c r="A885" s="24"/>
      <c r="C885" s="42"/>
      <c r="D885" s="73"/>
      <c r="E885" s="45"/>
      <c r="F885" s="44"/>
      <c r="G885" s="45"/>
      <c r="I885" s="45"/>
      <c r="K885" s="45"/>
      <c r="M885" s="45"/>
      <c r="O885" s="45"/>
      <c r="Q885" s="45"/>
      <c r="W885" s="45"/>
      <c r="Y885" s="45"/>
      <c r="AA885" s="45"/>
      <c r="AE885" s="45"/>
      <c r="AG885" s="45"/>
      <c r="AI885" s="45"/>
      <c r="AK885" s="45"/>
      <c r="AM885" s="45"/>
    </row>
    <row r="886" spans="1:39" ht="12.75" customHeight="1">
      <c r="A886" s="24"/>
      <c r="C886" s="42"/>
      <c r="D886" s="73"/>
      <c r="E886" s="45"/>
      <c r="F886" s="44"/>
      <c r="G886" s="45"/>
      <c r="I886" s="45"/>
      <c r="K886" s="45"/>
      <c r="M886" s="45"/>
      <c r="O886" s="45"/>
      <c r="Q886" s="45"/>
      <c r="W886" s="45"/>
      <c r="Y886" s="45"/>
      <c r="AA886" s="45"/>
      <c r="AE886" s="45"/>
      <c r="AG886" s="45"/>
      <c r="AI886" s="45"/>
      <c r="AK886" s="45"/>
      <c r="AM886" s="45"/>
    </row>
    <row r="887" spans="1:39" ht="12.75" customHeight="1">
      <c r="A887" s="24"/>
      <c r="C887" s="42"/>
      <c r="D887" s="73"/>
      <c r="E887" s="45"/>
      <c r="F887" s="44"/>
      <c r="G887" s="45"/>
      <c r="I887" s="45"/>
      <c r="K887" s="45"/>
      <c r="M887" s="45"/>
      <c r="O887" s="45"/>
      <c r="Q887" s="45"/>
      <c r="W887" s="45"/>
      <c r="Y887" s="45"/>
      <c r="AA887" s="45"/>
      <c r="AE887" s="45"/>
      <c r="AG887" s="45"/>
      <c r="AI887" s="45"/>
      <c r="AK887" s="45"/>
      <c r="AM887" s="45"/>
    </row>
    <row r="888" spans="1:39" ht="12.75" customHeight="1">
      <c r="A888" s="24"/>
      <c r="C888" s="42"/>
      <c r="D888" s="73"/>
      <c r="E888" s="45"/>
      <c r="F888" s="44"/>
      <c r="G888" s="45"/>
      <c r="I888" s="45"/>
      <c r="K888" s="45"/>
      <c r="M888" s="45"/>
      <c r="O888" s="45"/>
      <c r="Q888" s="45"/>
      <c r="W888" s="45"/>
      <c r="Y888" s="45"/>
      <c r="AA888" s="45"/>
      <c r="AE888" s="45"/>
      <c r="AG888" s="45"/>
      <c r="AI888" s="45"/>
      <c r="AK888" s="45"/>
      <c r="AM888" s="45"/>
    </row>
    <row r="889" spans="1:39" ht="12.75" customHeight="1">
      <c r="A889" s="24"/>
      <c r="C889" s="42"/>
      <c r="D889" s="73"/>
      <c r="E889" s="45"/>
      <c r="F889" s="44"/>
      <c r="G889" s="45"/>
      <c r="I889" s="45"/>
      <c r="K889" s="45"/>
      <c r="M889" s="45"/>
      <c r="O889" s="45"/>
      <c r="Q889" s="45"/>
      <c r="W889" s="45"/>
      <c r="Y889" s="45"/>
      <c r="AA889" s="45"/>
      <c r="AE889" s="45"/>
      <c r="AG889" s="45"/>
      <c r="AI889" s="45"/>
      <c r="AK889" s="45"/>
      <c r="AM889" s="45"/>
    </row>
    <row r="890" spans="1:39" ht="12.75" customHeight="1">
      <c r="A890" s="24"/>
      <c r="C890" s="42"/>
      <c r="D890" s="73"/>
      <c r="E890" s="45"/>
      <c r="F890" s="44"/>
      <c r="G890" s="45"/>
      <c r="I890" s="45"/>
      <c r="K890" s="45"/>
      <c r="M890" s="45"/>
      <c r="O890" s="45"/>
      <c r="Q890" s="45"/>
      <c r="W890" s="45"/>
      <c r="Y890" s="45"/>
      <c r="AA890" s="45"/>
      <c r="AE890" s="45"/>
      <c r="AG890" s="45"/>
      <c r="AI890" s="45"/>
      <c r="AK890" s="45"/>
      <c r="AM890" s="45"/>
    </row>
    <row r="891" spans="1:39" ht="12.75" customHeight="1">
      <c r="A891" s="24"/>
      <c r="C891" s="42"/>
      <c r="D891" s="73"/>
      <c r="E891" s="45"/>
      <c r="F891" s="44"/>
      <c r="G891" s="45"/>
      <c r="I891" s="45"/>
      <c r="K891" s="45"/>
      <c r="M891" s="45"/>
      <c r="O891" s="45"/>
      <c r="Q891" s="45"/>
      <c r="W891" s="45"/>
      <c r="Y891" s="45"/>
      <c r="AA891" s="45"/>
      <c r="AE891" s="45"/>
      <c r="AG891" s="45"/>
      <c r="AI891" s="45"/>
      <c r="AK891" s="45"/>
      <c r="AM891" s="45"/>
    </row>
    <row r="892" spans="1:39" ht="12.75" customHeight="1">
      <c r="A892" s="24"/>
      <c r="C892" s="42"/>
      <c r="D892" s="73"/>
      <c r="E892" s="45"/>
      <c r="F892" s="44"/>
      <c r="G892" s="45"/>
      <c r="I892" s="45"/>
      <c r="K892" s="45"/>
      <c r="M892" s="45"/>
      <c r="O892" s="45"/>
      <c r="Q892" s="45"/>
      <c r="W892" s="45"/>
      <c r="Y892" s="45"/>
      <c r="AA892" s="45"/>
      <c r="AE892" s="45"/>
      <c r="AG892" s="45"/>
      <c r="AI892" s="45"/>
      <c r="AK892" s="45"/>
      <c r="AM892" s="45"/>
    </row>
    <row r="893" spans="1:39" ht="12.75" customHeight="1">
      <c r="A893" s="24"/>
      <c r="C893" s="42"/>
      <c r="D893" s="73"/>
      <c r="E893" s="45"/>
      <c r="F893" s="44"/>
      <c r="G893" s="45"/>
      <c r="I893" s="45"/>
      <c r="K893" s="45"/>
      <c r="M893" s="45"/>
      <c r="O893" s="45"/>
      <c r="Q893" s="45"/>
      <c r="W893" s="45"/>
      <c r="Y893" s="45"/>
      <c r="AA893" s="45"/>
      <c r="AE893" s="45"/>
      <c r="AG893" s="45"/>
      <c r="AI893" s="45"/>
      <c r="AK893" s="45"/>
      <c r="AM893" s="45"/>
    </row>
    <row r="894" spans="1:39" ht="12.75" customHeight="1">
      <c r="A894" s="24"/>
      <c r="C894" s="42"/>
      <c r="D894" s="73"/>
      <c r="E894" s="45"/>
      <c r="F894" s="44"/>
      <c r="G894" s="45"/>
      <c r="I894" s="45"/>
      <c r="K894" s="45"/>
      <c r="M894" s="45"/>
      <c r="O894" s="45"/>
      <c r="Q894" s="45"/>
      <c r="W894" s="45"/>
      <c r="Y894" s="45"/>
      <c r="AA894" s="45"/>
      <c r="AE894" s="45"/>
      <c r="AG894" s="45"/>
      <c r="AI894" s="45"/>
      <c r="AK894" s="45"/>
      <c r="AM894" s="45"/>
    </row>
    <row r="895" spans="1:39" ht="12.75" customHeight="1">
      <c r="A895" s="24"/>
      <c r="C895" s="42"/>
      <c r="D895" s="73"/>
      <c r="E895" s="45"/>
      <c r="F895" s="44"/>
      <c r="G895" s="45"/>
      <c r="I895" s="45"/>
      <c r="K895" s="45"/>
      <c r="M895" s="45"/>
      <c r="O895" s="45"/>
      <c r="Q895" s="45"/>
      <c r="W895" s="45"/>
      <c r="Y895" s="45"/>
      <c r="AA895" s="45"/>
      <c r="AE895" s="45"/>
      <c r="AG895" s="45"/>
      <c r="AI895" s="45"/>
      <c r="AK895" s="45"/>
      <c r="AM895" s="45"/>
    </row>
    <row r="896" spans="1:39" ht="12.75" customHeight="1">
      <c r="A896" s="24"/>
      <c r="C896" s="42"/>
      <c r="D896" s="73"/>
      <c r="E896" s="45"/>
      <c r="F896" s="44"/>
      <c r="G896" s="45"/>
      <c r="I896" s="45"/>
      <c r="K896" s="45"/>
      <c r="M896" s="45"/>
      <c r="O896" s="45"/>
      <c r="Q896" s="45"/>
      <c r="W896" s="45"/>
      <c r="Y896" s="45"/>
      <c r="AA896" s="45"/>
      <c r="AE896" s="45"/>
      <c r="AG896" s="45"/>
      <c r="AI896" s="45"/>
      <c r="AK896" s="45"/>
      <c r="AM896" s="45"/>
    </row>
    <row r="897" spans="1:39" ht="12.75" customHeight="1">
      <c r="A897" s="24"/>
      <c r="C897" s="42"/>
      <c r="D897" s="73"/>
      <c r="E897" s="45"/>
      <c r="F897" s="44"/>
      <c r="G897" s="45"/>
      <c r="I897" s="45"/>
      <c r="K897" s="45"/>
      <c r="M897" s="45"/>
      <c r="O897" s="45"/>
      <c r="Q897" s="45"/>
      <c r="W897" s="45"/>
      <c r="Y897" s="45"/>
      <c r="AA897" s="45"/>
      <c r="AE897" s="45"/>
      <c r="AG897" s="45"/>
      <c r="AI897" s="45"/>
      <c r="AK897" s="45"/>
      <c r="AM897" s="45"/>
    </row>
    <row r="898" spans="1:39" ht="12.75" customHeight="1">
      <c r="A898" s="24"/>
      <c r="C898" s="42"/>
      <c r="D898" s="73"/>
      <c r="E898" s="45"/>
      <c r="F898" s="44"/>
      <c r="G898" s="45"/>
      <c r="I898" s="45"/>
      <c r="K898" s="45"/>
      <c r="M898" s="45"/>
      <c r="O898" s="45"/>
      <c r="Q898" s="45"/>
      <c r="W898" s="45"/>
      <c r="Y898" s="45"/>
      <c r="AA898" s="45"/>
      <c r="AE898" s="45"/>
      <c r="AG898" s="45"/>
      <c r="AI898" s="45"/>
      <c r="AK898" s="45"/>
      <c r="AM898" s="45"/>
    </row>
    <row r="899" spans="1:39" ht="12.75" customHeight="1">
      <c r="A899" s="24"/>
      <c r="C899" s="42"/>
      <c r="D899" s="73"/>
      <c r="E899" s="45"/>
      <c r="F899" s="44"/>
      <c r="G899" s="45"/>
      <c r="I899" s="45"/>
      <c r="K899" s="45"/>
      <c r="M899" s="45"/>
      <c r="O899" s="45"/>
      <c r="Q899" s="45"/>
      <c r="W899" s="45"/>
      <c r="Y899" s="45"/>
      <c r="AA899" s="45"/>
      <c r="AE899" s="45"/>
      <c r="AG899" s="45"/>
      <c r="AI899" s="45"/>
      <c r="AK899" s="45"/>
      <c r="AM899" s="45"/>
    </row>
    <row r="900" spans="1:39" ht="12.75" customHeight="1">
      <c r="A900" s="24"/>
      <c r="C900" s="42"/>
      <c r="D900" s="73"/>
      <c r="E900" s="45"/>
      <c r="F900" s="44"/>
      <c r="G900" s="45"/>
      <c r="I900" s="45"/>
      <c r="K900" s="45"/>
      <c r="M900" s="45"/>
      <c r="O900" s="45"/>
      <c r="Q900" s="45"/>
      <c r="W900" s="45"/>
      <c r="Y900" s="45"/>
      <c r="AA900" s="45"/>
      <c r="AE900" s="45"/>
      <c r="AG900" s="45"/>
      <c r="AI900" s="45"/>
      <c r="AK900" s="45"/>
      <c r="AM900" s="45"/>
    </row>
    <row r="901" spans="1:39" ht="12.75" customHeight="1">
      <c r="A901" s="24"/>
      <c r="C901" s="42"/>
      <c r="D901" s="73"/>
      <c r="E901" s="45"/>
      <c r="F901" s="44"/>
      <c r="G901" s="45"/>
      <c r="I901" s="45"/>
      <c r="K901" s="45"/>
      <c r="M901" s="45"/>
      <c r="O901" s="45"/>
      <c r="Q901" s="45"/>
      <c r="W901" s="45"/>
      <c r="Y901" s="45"/>
      <c r="AA901" s="45"/>
      <c r="AE901" s="45"/>
      <c r="AG901" s="45"/>
      <c r="AI901" s="45"/>
      <c r="AK901" s="45"/>
      <c r="AM901" s="45"/>
    </row>
    <row r="902" spans="1:39" ht="12.75" customHeight="1">
      <c r="A902" s="24"/>
      <c r="C902" s="42"/>
      <c r="D902" s="73"/>
      <c r="E902" s="45"/>
      <c r="F902" s="44"/>
      <c r="G902" s="45"/>
      <c r="I902" s="45"/>
      <c r="K902" s="45"/>
      <c r="M902" s="45"/>
      <c r="O902" s="45"/>
      <c r="Q902" s="45"/>
      <c r="W902" s="45"/>
      <c r="Y902" s="45"/>
      <c r="AA902" s="45"/>
      <c r="AE902" s="45"/>
      <c r="AG902" s="45"/>
      <c r="AI902" s="45"/>
      <c r="AK902" s="45"/>
      <c r="AM902" s="45"/>
    </row>
    <row r="903" spans="1:39" ht="12.75" customHeight="1">
      <c r="A903" s="24"/>
      <c r="C903" s="42"/>
      <c r="D903" s="73"/>
      <c r="E903" s="45"/>
      <c r="F903" s="44"/>
      <c r="G903" s="45"/>
      <c r="I903" s="45"/>
      <c r="K903" s="45"/>
      <c r="M903" s="45"/>
      <c r="O903" s="45"/>
      <c r="Q903" s="45"/>
      <c r="W903" s="45"/>
      <c r="Y903" s="45"/>
      <c r="AA903" s="45"/>
      <c r="AE903" s="45"/>
      <c r="AG903" s="45"/>
      <c r="AI903" s="45"/>
      <c r="AK903" s="45"/>
      <c r="AM903" s="45"/>
    </row>
    <row r="904" spans="1:39" ht="12.75" customHeight="1">
      <c r="A904" s="24"/>
      <c r="C904" s="42"/>
      <c r="D904" s="73"/>
      <c r="E904" s="45"/>
      <c r="F904" s="44"/>
      <c r="G904" s="45"/>
      <c r="I904" s="45"/>
      <c r="K904" s="45"/>
      <c r="M904" s="45"/>
      <c r="O904" s="45"/>
      <c r="Q904" s="45"/>
      <c r="W904" s="45"/>
      <c r="Y904" s="45"/>
      <c r="AA904" s="45"/>
      <c r="AE904" s="45"/>
      <c r="AG904" s="45"/>
      <c r="AI904" s="45"/>
      <c r="AK904" s="45"/>
      <c r="AM904" s="45"/>
    </row>
    <row r="905" spans="1:39" ht="12.75" customHeight="1">
      <c r="A905" s="24"/>
      <c r="C905" s="42"/>
      <c r="D905" s="73"/>
      <c r="E905" s="45"/>
      <c r="F905" s="44"/>
      <c r="G905" s="45"/>
      <c r="I905" s="45"/>
      <c r="K905" s="45"/>
      <c r="M905" s="45"/>
      <c r="O905" s="45"/>
      <c r="Q905" s="45"/>
      <c r="W905" s="45"/>
      <c r="Y905" s="45"/>
      <c r="AA905" s="45"/>
      <c r="AE905" s="45"/>
      <c r="AG905" s="45"/>
      <c r="AI905" s="45"/>
      <c r="AK905" s="45"/>
      <c r="AM905" s="45"/>
    </row>
    <row r="906" spans="1:39" ht="12.75" customHeight="1">
      <c r="A906" s="24"/>
      <c r="C906" s="42"/>
      <c r="D906" s="73"/>
      <c r="E906" s="45"/>
      <c r="F906" s="44"/>
      <c r="G906" s="45"/>
      <c r="I906" s="45"/>
      <c r="K906" s="45"/>
      <c r="M906" s="45"/>
      <c r="O906" s="45"/>
      <c r="Q906" s="45"/>
      <c r="W906" s="45"/>
      <c r="Y906" s="45"/>
      <c r="AA906" s="45"/>
      <c r="AE906" s="45"/>
      <c r="AG906" s="45"/>
      <c r="AI906" s="45"/>
      <c r="AK906" s="45"/>
      <c r="AM906" s="45"/>
    </row>
    <row r="907" spans="1:39" ht="12.75" customHeight="1">
      <c r="A907" s="24"/>
      <c r="C907" s="42"/>
      <c r="D907" s="73"/>
      <c r="E907" s="45"/>
      <c r="F907" s="44"/>
      <c r="G907" s="45"/>
      <c r="I907" s="45"/>
      <c r="K907" s="45"/>
      <c r="M907" s="45"/>
      <c r="O907" s="45"/>
      <c r="Q907" s="45"/>
      <c r="W907" s="45"/>
      <c r="Y907" s="45"/>
      <c r="AA907" s="45"/>
      <c r="AE907" s="45"/>
      <c r="AG907" s="45"/>
      <c r="AI907" s="45"/>
      <c r="AK907" s="45"/>
      <c r="AM907" s="45"/>
    </row>
    <row r="908" spans="1:39" ht="12.75" customHeight="1">
      <c r="A908" s="24"/>
      <c r="C908" s="42"/>
      <c r="D908" s="73"/>
      <c r="E908" s="45"/>
      <c r="F908" s="44"/>
      <c r="G908" s="45"/>
      <c r="I908" s="45"/>
      <c r="K908" s="45"/>
      <c r="M908" s="45"/>
      <c r="O908" s="45"/>
      <c r="Q908" s="45"/>
      <c r="W908" s="45"/>
      <c r="Y908" s="45"/>
      <c r="AA908" s="45"/>
      <c r="AE908" s="45"/>
      <c r="AG908" s="45"/>
      <c r="AI908" s="45"/>
      <c r="AK908" s="45"/>
      <c r="AM908" s="45"/>
    </row>
    <row r="909" spans="1:39" ht="12.75" customHeight="1">
      <c r="A909" s="24"/>
      <c r="C909" s="42"/>
      <c r="D909" s="73"/>
      <c r="E909" s="45"/>
      <c r="F909" s="44"/>
      <c r="G909" s="45"/>
      <c r="I909" s="45"/>
      <c r="K909" s="45"/>
      <c r="M909" s="45"/>
      <c r="O909" s="45"/>
      <c r="Q909" s="45"/>
      <c r="W909" s="45"/>
      <c r="Y909" s="45"/>
      <c r="AA909" s="45"/>
      <c r="AE909" s="45"/>
      <c r="AG909" s="45"/>
      <c r="AI909" s="45"/>
      <c r="AK909" s="45"/>
      <c r="AM909" s="45"/>
    </row>
    <row r="910" spans="1:39" ht="12.75" customHeight="1">
      <c r="A910" s="24"/>
      <c r="C910" s="42"/>
      <c r="D910" s="73"/>
      <c r="E910" s="45"/>
      <c r="F910" s="44"/>
      <c r="G910" s="45"/>
      <c r="I910" s="45"/>
      <c r="K910" s="45"/>
      <c r="M910" s="45"/>
      <c r="O910" s="45"/>
      <c r="Q910" s="45"/>
      <c r="W910" s="45"/>
      <c r="Y910" s="45"/>
      <c r="AA910" s="45"/>
      <c r="AE910" s="45"/>
      <c r="AG910" s="45"/>
      <c r="AI910" s="45"/>
      <c r="AK910" s="45"/>
      <c r="AM910" s="45"/>
    </row>
    <row r="911" spans="1:39" ht="12.75" customHeight="1">
      <c r="A911" s="24"/>
      <c r="C911" s="42"/>
      <c r="D911" s="73"/>
      <c r="E911" s="45"/>
      <c r="F911" s="44"/>
      <c r="G911" s="45"/>
      <c r="I911" s="45"/>
      <c r="K911" s="45"/>
      <c r="M911" s="45"/>
      <c r="O911" s="45"/>
      <c r="Q911" s="45"/>
      <c r="W911" s="45"/>
      <c r="Y911" s="45"/>
      <c r="AA911" s="45"/>
      <c r="AE911" s="45"/>
      <c r="AG911" s="45"/>
      <c r="AI911" s="45"/>
      <c r="AK911" s="45"/>
      <c r="AM911" s="45"/>
    </row>
    <row r="912" spans="1:39" ht="12.75" customHeight="1">
      <c r="A912" s="24"/>
      <c r="C912" s="42"/>
      <c r="D912" s="73"/>
      <c r="E912" s="45"/>
      <c r="F912" s="44"/>
      <c r="G912" s="45"/>
      <c r="I912" s="45"/>
      <c r="K912" s="45"/>
      <c r="M912" s="45"/>
      <c r="O912" s="45"/>
      <c r="Q912" s="45"/>
      <c r="W912" s="45"/>
      <c r="Y912" s="45"/>
      <c r="AA912" s="45"/>
      <c r="AE912" s="45"/>
      <c r="AG912" s="45"/>
      <c r="AI912" s="45"/>
      <c r="AK912" s="45"/>
      <c r="AM912" s="45"/>
    </row>
    <row r="913" spans="1:39" ht="12.75" customHeight="1">
      <c r="A913" s="24"/>
      <c r="C913" s="42"/>
      <c r="D913" s="73"/>
      <c r="E913" s="45"/>
      <c r="F913" s="44"/>
      <c r="G913" s="45"/>
      <c r="I913" s="45"/>
      <c r="K913" s="45"/>
      <c r="M913" s="45"/>
      <c r="O913" s="45"/>
      <c r="Q913" s="45"/>
      <c r="W913" s="45"/>
      <c r="Y913" s="45"/>
      <c r="AA913" s="45"/>
      <c r="AE913" s="45"/>
      <c r="AG913" s="45"/>
      <c r="AI913" s="45"/>
      <c r="AK913" s="45"/>
      <c r="AM913" s="45"/>
    </row>
    <row r="914" spans="1:39" ht="12.75" customHeight="1">
      <c r="A914" s="24"/>
      <c r="C914" s="42"/>
      <c r="D914" s="73"/>
      <c r="E914" s="45"/>
      <c r="F914" s="44"/>
      <c r="G914" s="45"/>
      <c r="I914" s="45"/>
      <c r="K914" s="45"/>
      <c r="M914" s="45"/>
      <c r="O914" s="45"/>
      <c r="Q914" s="45"/>
      <c r="W914" s="45"/>
      <c r="Y914" s="45"/>
      <c r="AA914" s="45"/>
      <c r="AE914" s="45"/>
      <c r="AG914" s="45"/>
      <c r="AI914" s="45"/>
      <c r="AK914" s="45"/>
      <c r="AM914" s="45"/>
    </row>
    <row r="915" spans="1:39" ht="12.75" customHeight="1">
      <c r="A915" s="24"/>
      <c r="C915" s="42"/>
      <c r="D915" s="73"/>
      <c r="E915" s="45"/>
      <c r="F915" s="44"/>
      <c r="G915" s="45"/>
      <c r="I915" s="45"/>
      <c r="K915" s="45"/>
      <c r="M915" s="45"/>
      <c r="O915" s="45"/>
      <c r="Q915" s="45"/>
      <c r="W915" s="45"/>
      <c r="Y915" s="45"/>
      <c r="AA915" s="45"/>
      <c r="AE915" s="45"/>
      <c r="AG915" s="45"/>
      <c r="AI915" s="45"/>
      <c r="AK915" s="45"/>
      <c r="AM915" s="45"/>
    </row>
    <row r="916" spans="1:39" ht="12.75" customHeight="1">
      <c r="A916" s="24"/>
      <c r="C916" s="42"/>
      <c r="D916" s="73"/>
      <c r="E916" s="45"/>
      <c r="F916" s="44"/>
      <c r="G916" s="45"/>
      <c r="I916" s="45"/>
      <c r="K916" s="45"/>
      <c r="M916" s="45"/>
      <c r="O916" s="45"/>
      <c r="Q916" s="45"/>
      <c r="W916" s="45"/>
      <c r="Y916" s="45"/>
      <c r="AA916" s="45"/>
      <c r="AE916" s="45"/>
      <c r="AG916" s="45"/>
      <c r="AI916" s="45"/>
      <c r="AK916" s="45"/>
      <c r="AM916" s="45"/>
    </row>
    <row r="917" spans="1:39" ht="12.75" customHeight="1">
      <c r="A917" s="24"/>
      <c r="C917" s="42"/>
      <c r="D917" s="73"/>
      <c r="E917" s="45"/>
      <c r="F917" s="44"/>
      <c r="G917" s="45"/>
      <c r="I917" s="45"/>
      <c r="K917" s="45"/>
      <c r="M917" s="45"/>
      <c r="O917" s="45"/>
      <c r="Q917" s="45"/>
      <c r="W917" s="45"/>
      <c r="Y917" s="45"/>
      <c r="AA917" s="45"/>
      <c r="AE917" s="45"/>
      <c r="AG917" s="45"/>
      <c r="AI917" s="45"/>
      <c r="AK917" s="45"/>
      <c r="AM917" s="45"/>
    </row>
    <row r="918" spans="1:39" ht="12.75" customHeight="1">
      <c r="A918" s="24"/>
      <c r="C918" s="42"/>
      <c r="D918" s="73"/>
      <c r="E918" s="45"/>
      <c r="F918" s="44"/>
      <c r="G918" s="45"/>
      <c r="I918" s="45"/>
      <c r="K918" s="45"/>
      <c r="M918" s="45"/>
      <c r="O918" s="45"/>
      <c r="Q918" s="45"/>
      <c r="W918" s="45"/>
      <c r="Y918" s="45"/>
      <c r="AA918" s="45"/>
      <c r="AE918" s="45"/>
      <c r="AG918" s="45"/>
      <c r="AI918" s="45"/>
      <c r="AK918" s="45"/>
      <c r="AM918" s="45"/>
    </row>
    <row r="919" spans="1:39" ht="12.75" customHeight="1">
      <c r="A919" s="24"/>
      <c r="C919" s="42"/>
      <c r="D919" s="73"/>
      <c r="E919" s="45"/>
      <c r="F919" s="44"/>
      <c r="G919" s="45"/>
      <c r="I919" s="45"/>
      <c r="K919" s="45"/>
      <c r="M919" s="45"/>
      <c r="O919" s="45"/>
      <c r="Q919" s="45"/>
      <c r="W919" s="45"/>
      <c r="Y919" s="45"/>
      <c r="AA919" s="45"/>
      <c r="AE919" s="45"/>
      <c r="AG919" s="45"/>
      <c r="AI919" s="45"/>
      <c r="AK919" s="45"/>
      <c r="AM919" s="45"/>
    </row>
    <row r="920" spans="1:39" ht="12.75" customHeight="1">
      <c r="A920" s="24"/>
      <c r="C920" s="42"/>
      <c r="D920" s="73"/>
      <c r="E920" s="45"/>
      <c r="F920" s="44"/>
      <c r="G920" s="45"/>
      <c r="I920" s="45"/>
      <c r="K920" s="45"/>
      <c r="M920" s="45"/>
      <c r="O920" s="45"/>
      <c r="Q920" s="45"/>
      <c r="W920" s="45"/>
      <c r="Y920" s="45"/>
      <c r="AA920" s="45"/>
      <c r="AE920" s="45"/>
      <c r="AG920" s="45"/>
      <c r="AI920" s="45"/>
      <c r="AK920" s="45"/>
      <c r="AM920" s="45"/>
    </row>
    <row r="921" spans="1:39" ht="12.75" customHeight="1">
      <c r="A921" s="24"/>
      <c r="C921" s="42"/>
      <c r="D921" s="73"/>
      <c r="E921" s="45"/>
      <c r="F921" s="44"/>
      <c r="G921" s="45"/>
      <c r="I921" s="45"/>
      <c r="K921" s="45"/>
      <c r="M921" s="45"/>
      <c r="O921" s="45"/>
      <c r="Q921" s="45"/>
      <c r="W921" s="45"/>
      <c r="Y921" s="45"/>
      <c r="AA921" s="45"/>
      <c r="AE921" s="45"/>
      <c r="AG921" s="45"/>
      <c r="AI921" s="45"/>
      <c r="AK921" s="45"/>
      <c r="AM921" s="45"/>
    </row>
    <row r="922" spans="1:39" ht="12.75" customHeight="1">
      <c r="A922" s="24"/>
      <c r="C922" s="42"/>
      <c r="D922" s="73"/>
      <c r="E922" s="45"/>
      <c r="F922" s="44"/>
      <c r="G922" s="45"/>
      <c r="I922" s="45"/>
      <c r="K922" s="45"/>
      <c r="M922" s="45"/>
      <c r="O922" s="45"/>
      <c r="Q922" s="45"/>
      <c r="W922" s="45"/>
      <c r="Y922" s="45"/>
      <c r="AA922" s="45"/>
      <c r="AE922" s="45"/>
      <c r="AG922" s="45"/>
      <c r="AI922" s="45"/>
      <c r="AK922" s="45"/>
      <c r="AM922" s="45"/>
    </row>
    <row r="923" spans="1:39" ht="12.75" customHeight="1">
      <c r="A923" s="24"/>
      <c r="C923" s="42"/>
      <c r="D923" s="73"/>
      <c r="E923" s="45"/>
      <c r="F923" s="44"/>
      <c r="G923" s="45"/>
      <c r="I923" s="45"/>
      <c r="K923" s="45"/>
      <c r="M923" s="45"/>
      <c r="O923" s="45"/>
      <c r="Q923" s="45"/>
      <c r="W923" s="45"/>
      <c r="Y923" s="45"/>
      <c r="AA923" s="45"/>
      <c r="AE923" s="45"/>
      <c r="AG923" s="45"/>
      <c r="AI923" s="45"/>
      <c r="AK923" s="45"/>
      <c r="AM923" s="45"/>
    </row>
    <row r="924" spans="1:39" ht="12.75" customHeight="1">
      <c r="A924" s="24"/>
      <c r="C924" s="42"/>
      <c r="D924" s="73"/>
      <c r="E924" s="45"/>
      <c r="F924" s="44"/>
      <c r="G924" s="45"/>
      <c r="I924" s="45"/>
      <c r="K924" s="45"/>
      <c r="M924" s="45"/>
      <c r="O924" s="45"/>
      <c r="Q924" s="45"/>
      <c r="W924" s="45"/>
      <c r="Y924" s="45"/>
      <c r="AA924" s="45"/>
      <c r="AE924" s="45"/>
      <c r="AG924" s="45"/>
      <c r="AI924" s="45"/>
      <c r="AK924" s="45"/>
      <c r="AM924" s="45"/>
    </row>
    <row r="925" spans="1:39" ht="12.75" customHeight="1">
      <c r="A925" s="24"/>
      <c r="C925" s="42"/>
      <c r="D925" s="73"/>
      <c r="E925" s="45"/>
      <c r="F925" s="44"/>
      <c r="G925" s="45"/>
      <c r="I925" s="45"/>
      <c r="K925" s="45"/>
      <c r="M925" s="45"/>
      <c r="O925" s="45"/>
      <c r="Q925" s="45"/>
      <c r="W925" s="45"/>
      <c r="Y925" s="45"/>
      <c r="AA925" s="45"/>
      <c r="AE925" s="45"/>
      <c r="AG925" s="45"/>
      <c r="AI925" s="45"/>
      <c r="AK925" s="45"/>
      <c r="AM925" s="45"/>
    </row>
    <row r="926" spans="1:39" ht="12.75" customHeight="1">
      <c r="A926" s="24"/>
      <c r="C926" s="42"/>
      <c r="D926" s="73"/>
      <c r="E926" s="45"/>
      <c r="F926" s="44"/>
      <c r="G926" s="45"/>
      <c r="I926" s="45"/>
      <c r="K926" s="45"/>
      <c r="M926" s="45"/>
      <c r="O926" s="45"/>
      <c r="Q926" s="45"/>
      <c r="W926" s="45"/>
      <c r="Y926" s="45"/>
      <c r="AA926" s="45"/>
      <c r="AE926" s="45"/>
      <c r="AG926" s="45"/>
      <c r="AI926" s="45"/>
      <c r="AK926" s="45"/>
      <c r="AM926" s="45"/>
    </row>
    <row r="927" spans="1:39" ht="12.75" customHeight="1">
      <c r="A927" s="24"/>
      <c r="C927" s="42"/>
      <c r="D927" s="73"/>
      <c r="E927" s="45"/>
      <c r="F927" s="44"/>
      <c r="G927" s="45"/>
      <c r="I927" s="45"/>
      <c r="K927" s="45"/>
      <c r="M927" s="45"/>
      <c r="O927" s="45"/>
      <c r="Q927" s="45"/>
      <c r="W927" s="45"/>
      <c r="Y927" s="45"/>
      <c r="AA927" s="45"/>
      <c r="AE927" s="45"/>
      <c r="AG927" s="45"/>
      <c r="AI927" s="45"/>
      <c r="AK927" s="45"/>
      <c r="AM927" s="45"/>
    </row>
    <row r="928" spans="1:39" ht="12.75" customHeight="1">
      <c r="A928" s="24"/>
      <c r="C928" s="42"/>
      <c r="D928" s="73"/>
      <c r="E928" s="45"/>
      <c r="F928" s="44"/>
      <c r="G928" s="45"/>
      <c r="I928" s="45"/>
      <c r="K928" s="45"/>
      <c r="M928" s="45"/>
      <c r="O928" s="45"/>
      <c r="Q928" s="45"/>
      <c r="W928" s="45"/>
      <c r="Y928" s="45"/>
      <c r="AA928" s="45"/>
      <c r="AE928" s="45"/>
      <c r="AG928" s="45"/>
      <c r="AI928" s="45"/>
      <c r="AK928" s="45"/>
      <c r="AM928" s="45"/>
    </row>
    <row r="929" spans="1:39" ht="12.75" customHeight="1">
      <c r="A929" s="24"/>
      <c r="C929" s="42"/>
      <c r="D929" s="73"/>
      <c r="E929" s="45"/>
      <c r="F929" s="44"/>
      <c r="G929" s="45"/>
      <c r="I929" s="45"/>
      <c r="K929" s="45"/>
      <c r="M929" s="45"/>
      <c r="O929" s="45"/>
      <c r="Q929" s="45"/>
      <c r="W929" s="45"/>
      <c r="Y929" s="45"/>
      <c r="AA929" s="45"/>
      <c r="AE929" s="45"/>
      <c r="AG929" s="45"/>
      <c r="AI929" s="45"/>
      <c r="AK929" s="45"/>
      <c r="AM929" s="45"/>
    </row>
    <row r="930" spans="1:39" ht="12.75" customHeight="1">
      <c r="A930" s="24"/>
      <c r="C930" s="42"/>
      <c r="D930" s="73"/>
      <c r="E930" s="45"/>
      <c r="F930" s="44"/>
      <c r="G930" s="45"/>
      <c r="I930" s="45"/>
      <c r="K930" s="45"/>
      <c r="M930" s="45"/>
      <c r="O930" s="45"/>
      <c r="Q930" s="45"/>
      <c r="W930" s="45"/>
      <c r="Y930" s="45"/>
      <c r="AA930" s="45"/>
      <c r="AE930" s="45"/>
      <c r="AG930" s="45"/>
      <c r="AI930" s="45"/>
      <c r="AK930" s="45"/>
      <c r="AM930" s="45"/>
    </row>
    <row r="931" spans="1:39" ht="12.75" customHeight="1">
      <c r="A931" s="24"/>
      <c r="C931" s="42"/>
      <c r="D931" s="73"/>
      <c r="E931" s="45"/>
      <c r="F931" s="44"/>
      <c r="G931" s="45"/>
      <c r="I931" s="45"/>
      <c r="K931" s="45"/>
      <c r="M931" s="45"/>
      <c r="O931" s="45"/>
      <c r="Q931" s="45"/>
      <c r="W931" s="45"/>
      <c r="Y931" s="45"/>
      <c r="AA931" s="45"/>
      <c r="AE931" s="45"/>
      <c r="AG931" s="45"/>
      <c r="AI931" s="45"/>
      <c r="AK931" s="45"/>
      <c r="AM931" s="45"/>
    </row>
    <row r="932" spans="1:39" ht="12.75" customHeight="1">
      <c r="A932" s="24"/>
      <c r="C932" s="42"/>
      <c r="D932" s="73"/>
      <c r="E932" s="45"/>
      <c r="F932" s="44"/>
      <c r="G932" s="45"/>
      <c r="I932" s="45"/>
      <c r="K932" s="45"/>
      <c r="M932" s="45"/>
      <c r="O932" s="45"/>
      <c r="Q932" s="45"/>
      <c r="W932" s="45"/>
      <c r="Y932" s="45"/>
      <c r="AA932" s="45"/>
      <c r="AE932" s="45"/>
      <c r="AG932" s="45"/>
      <c r="AI932" s="45"/>
      <c r="AK932" s="45"/>
      <c r="AM932" s="45"/>
    </row>
    <row r="933" spans="1:39" ht="12.75" customHeight="1">
      <c r="A933" s="24"/>
      <c r="C933" s="42"/>
      <c r="D933" s="73"/>
      <c r="E933" s="45"/>
      <c r="F933" s="44"/>
      <c r="G933" s="45"/>
      <c r="I933" s="45"/>
      <c r="K933" s="45"/>
      <c r="M933" s="45"/>
      <c r="O933" s="45"/>
      <c r="Q933" s="45"/>
      <c r="W933" s="45"/>
      <c r="Y933" s="45"/>
      <c r="AA933" s="45"/>
      <c r="AE933" s="45"/>
      <c r="AG933" s="45"/>
      <c r="AI933" s="45"/>
      <c r="AK933" s="45"/>
      <c r="AM933" s="45"/>
    </row>
    <row r="934" spans="1:39" ht="12.75" customHeight="1">
      <c r="A934" s="24"/>
      <c r="C934" s="42"/>
      <c r="D934" s="73"/>
      <c r="E934" s="45"/>
      <c r="F934" s="44"/>
      <c r="G934" s="45"/>
      <c r="I934" s="45"/>
      <c r="K934" s="45"/>
      <c r="M934" s="45"/>
      <c r="O934" s="45"/>
      <c r="Q934" s="45"/>
      <c r="W934" s="45"/>
      <c r="Y934" s="45"/>
      <c r="AA934" s="45"/>
      <c r="AE934" s="45"/>
      <c r="AG934" s="45"/>
      <c r="AI934" s="45"/>
      <c r="AK934" s="45"/>
      <c r="AM934" s="45"/>
    </row>
    <row r="935" spans="1:39" ht="12.75" customHeight="1">
      <c r="A935" s="24"/>
      <c r="C935" s="42"/>
      <c r="D935" s="73"/>
      <c r="E935" s="45"/>
      <c r="F935" s="44"/>
      <c r="G935" s="45"/>
      <c r="I935" s="45"/>
      <c r="K935" s="45"/>
      <c r="M935" s="45"/>
      <c r="O935" s="45"/>
      <c r="Q935" s="45"/>
      <c r="W935" s="45"/>
      <c r="Y935" s="45"/>
      <c r="AA935" s="45"/>
      <c r="AE935" s="45"/>
      <c r="AG935" s="45"/>
      <c r="AI935" s="45"/>
      <c r="AK935" s="45"/>
      <c r="AM935" s="45"/>
    </row>
    <row r="936" spans="1:39" ht="12.75" customHeight="1">
      <c r="A936" s="24"/>
      <c r="C936" s="42"/>
      <c r="D936" s="73"/>
      <c r="E936" s="45"/>
      <c r="F936" s="44"/>
      <c r="G936" s="45"/>
      <c r="I936" s="45"/>
      <c r="K936" s="45"/>
      <c r="M936" s="45"/>
      <c r="O936" s="45"/>
      <c r="Q936" s="45"/>
      <c r="W936" s="45"/>
      <c r="Y936" s="45"/>
      <c r="AA936" s="45"/>
      <c r="AE936" s="45"/>
      <c r="AG936" s="45"/>
      <c r="AI936" s="45"/>
      <c r="AK936" s="45"/>
      <c r="AM936" s="45"/>
    </row>
    <row r="937" spans="1:39" ht="12.75" customHeight="1">
      <c r="A937" s="24"/>
      <c r="C937" s="42"/>
      <c r="D937" s="73"/>
      <c r="E937" s="45"/>
      <c r="F937" s="44"/>
      <c r="G937" s="45"/>
      <c r="I937" s="45"/>
      <c r="K937" s="45"/>
      <c r="M937" s="45"/>
      <c r="O937" s="45"/>
      <c r="Q937" s="45"/>
      <c r="W937" s="45"/>
      <c r="Y937" s="45"/>
      <c r="AA937" s="45"/>
      <c r="AE937" s="45"/>
      <c r="AG937" s="45"/>
      <c r="AI937" s="45"/>
      <c r="AK937" s="45"/>
      <c r="AM937" s="45"/>
    </row>
    <row r="938" spans="1:39" ht="12.75" customHeight="1">
      <c r="A938" s="24"/>
      <c r="C938" s="42"/>
      <c r="D938" s="73"/>
      <c r="E938" s="45"/>
      <c r="F938" s="44"/>
      <c r="G938" s="45"/>
      <c r="I938" s="45"/>
      <c r="K938" s="45"/>
      <c r="M938" s="45"/>
      <c r="O938" s="45"/>
      <c r="Q938" s="45"/>
      <c r="W938" s="45"/>
      <c r="Y938" s="45"/>
      <c r="AA938" s="45"/>
      <c r="AE938" s="45"/>
      <c r="AG938" s="45"/>
      <c r="AI938" s="45"/>
      <c r="AK938" s="45"/>
      <c r="AM938" s="45"/>
    </row>
    <row r="939" spans="1:39" ht="12.75" customHeight="1">
      <c r="A939" s="24"/>
      <c r="C939" s="42"/>
      <c r="D939" s="73"/>
      <c r="E939" s="45"/>
      <c r="F939" s="44"/>
      <c r="G939" s="45"/>
      <c r="I939" s="45"/>
      <c r="K939" s="45"/>
      <c r="M939" s="45"/>
      <c r="O939" s="45"/>
      <c r="Q939" s="45"/>
      <c r="W939" s="45"/>
      <c r="Y939" s="45"/>
      <c r="AA939" s="45"/>
      <c r="AE939" s="45"/>
      <c r="AG939" s="45"/>
      <c r="AI939" s="45"/>
      <c r="AK939" s="45"/>
      <c r="AM939" s="45"/>
    </row>
    <row r="940" spans="1:39" ht="12.75" customHeight="1">
      <c r="A940" s="24"/>
      <c r="C940" s="42"/>
      <c r="D940" s="73"/>
      <c r="E940" s="45"/>
      <c r="F940" s="44"/>
      <c r="G940" s="45"/>
      <c r="I940" s="45"/>
      <c r="K940" s="45"/>
      <c r="M940" s="45"/>
      <c r="O940" s="45"/>
      <c r="Q940" s="45"/>
      <c r="W940" s="45"/>
      <c r="Y940" s="45"/>
      <c r="AA940" s="45"/>
      <c r="AE940" s="45"/>
      <c r="AG940" s="45"/>
      <c r="AI940" s="45"/>
      <c r="AK940" s="45"/>
      <c r="AM940" s="45"/>
    </row>
    <row r="941" spans="1:39" ht="12.75" customHeight="1">
      <c r="A941" s="24"/>
      <c r="C941" s="42"/>
      <c r="D941" s="73"/>
      <c r="E941" s="45"/>
      <c r="F941" s="44"/>
      <c r="G941" s="45"/>
      <c r="I941" s="45"/>
      <c r="K941" s="45"/>
      <c r="M941" s="45"/>
      <c r="O941" s="45"/>
      <c r="Q941" s="45"/>
      <c r="W941" s="45"/>
      <c r="Y941" s="45"/>
      <c r="AA941" s="45"/>
      <c r="AE941" s="45"/>
      <c r="AG941" s="45"/>
      <c r="AI941" s="45"/>
      <c r="AK941" s="45"/>
      <c r="AM941" s="45"/>
    </row>
    <row r="942" spans="1:39" ht="12.75" customHeight="1">
      <c r="A942" s="24"/>
      <c r="C942" s="42"/>
      <c r="D942" s="73"/>
      <c r="E942" s="45"/>
      <c r="F942" s="44"/>
      <c r="G942" s="45"/>
      <c r="I942" s="45"/>
      <c r="K942" s="45"/>
      <c r="M942" s="45"/>
      <c r="O942" s="45"/>
      <c r="Q942" s="45"/>
      <c r="W942" s="45"/>
      <c r="Y942" s="45"/>
      <c r="AA942" s="45"/>
      <c r="AE942" s="45"/>
      <c r="AG942" s="45"/>
      <c r="AI942" s="45"/>
      <c r="AK942" s="45"/>
      <c r="AM942" s="45"/>
    </row>
    <row r="943" spans="1:39" ht="12.75" customHeight="1">
      <c r="A943" s="24"/>
      <c r="C943" s="42"/>
      <c r="D943" s="73"/>
      <c r="E943" s="45"/>
      <c r="F943" s="44"/>
      <c r="G943" s="45"/>
      <c r="I943" s="45"/>
      <c r="K943" s="45"/>
      <c r="M943" s="45"/>
      <c r="O943" s="45"/>
      <c r="Q943" s="45"/>
      <c r="W943" s="45"/>
      <c r="Y943" s="45"/>
      <c r="AA943" s="45"/>
      <c r="AE943" s="45"/>
      <c r="AG943" s="45"/>
      <c r="AI943" s="45"/>
      <c r="AK943" s="45"/>
      <c r="AM943" s="45"/>
    </row>
    <row r="944" spans="1:39" ht="12.75" customHeight="1">
      <c r="A944" s="24"/>
      <c r="C944" s="42"/>
      <c r="D944" s="73"/>
      <c r="E944" s="45"/>
      <c r="F944" s="44"/>
      <c r="G944" s="45"/>
      <c r="I944" s="45"/>
      <c r="K944" s="45"/>
      <c r="M944" s="45"/>
      <c r="O944" s="45"/>
      <c r="Q944" s="45"/>
      <c r="W944" s="45"/>
      <c r="Y944" s="45"/>
      <c r="AA944" s="45"/>
      <c r="AE944" s="45"/>
      <c r="AG944" s="45"/>
      <c r="AI944" s="45"/>
      <c r="AK944" s="45"/>
      <c r="AM944" s="45"/>
    </row>
    <row r="945" spans="1:39" ht="12.75" customHeight="1">
      <c r="A945" s="24"/>
      <c r="C945" s="42"/>
      <c r="D945" s="73"/>
      <c r="E945" s="45"/>
      <c r="F945" s="44"/>
      <c r="G945" s="45"/>
      <c r="I945" s="45"/>
      <c r="K945" s="45"/>
      <c r="M945" s="45"/>
      <c r="O945" s="45"/>
      <c r="Q945" s="45"/>
      <c r="W945" s="45"/>
      <c r="Y945" s="45"/>
      <c r="AA945" s="45"/>
      <c r="AE945" s="45"/>
      <c r="AG945" s="45"/>
      <c r="AI945" s="45"/>
      <c r="AK945" s="45"/>
      <c r="AM945" s="45"/>
    </row>
    <row r="946" spans="1:39" ht="12.75" customHeight="1">
      <c r="A946" s="24"/>
      <c r="C946" s="42"/>
      <c r="D946" s="73"/>
      <c r="E946" s="45"/>
      <c r="F946" s="44"/>
      <c r="G946" s="45"/>
      <c r="I946" s="45"/>
      <c r="K946" s="45"/>
      <c r="M946" s="45"/>
      <c r="O946" s="45"/>
      <c r="Q946" s="45"/>
      <c r="W946" s="45"/>
      <c r="Y946" s="45"/>
      <c r="AA946" s="45"/>
      <c r="AE946" s="45"/>
      <c r="AG946" s="45"/>
      <c r="AI946" s="45"/>
      <c r="AK946" s="45"/>
      <c r="AM946" s="45"/>
    </row>
    <row r="947" spans="1:39" ht="12.75" customHeight="1">
      <c r="A947" s="24"/>
      <c r="C947" s="42"/>
      <c r="D947" s="73"/>
      <c r="E947" s="45"/>
      <c r="F947" s="44"/>
      <c r="G947" s="45"/>
      <c r="I947" s="45"/>
      <c r="K947" s="45"/>
      <c r="M947" s="45"/>
      <c r="O947" s="45"/>
      <c r="Q947" s="45"/>
      <c r="W947" s="45"/>
      <c r="Y947" s="45"/>
      <c r="AA947" s="45"/>
      <c r="AE947" s="45"/>
      <c r="AG947" s="45"/>
      <c r="AI947" s="45"/>
      <c r="AK947" s="45"/>
      <c r="AM947" s="45"/>
    </row>
    <row r="948" spans="1:39" ht="12.75" customHeight="1">
      <c r="A948" s="24"/>
      <c r="C948" s="42"/>
      <c r="D948" s="73"/>
      <c r="E948" s="45"/>
      <c r="F948" s="44"/>
      <c r="G948" s="45"/>
      <c r="I948" s="45"/>
      <c r="K948" s="45"/>
      <c r="M948" s="45"/>
      <c r="O948" s="45"/>
      <c r="Q948" s="45"/>
      <c r="W948" s="45"/>
      <c r="Y948" s="45"/>
      <c r="AA948" s="45"/>
      <c r="AE948" s="45"/>
      <c r="AG948" s="45"/>
      <c r="AI948" s="45"/>
      <c r="AK948" s="45"/>
      <c r="AM948" s="45"/>
    </row>
    <row r="949" spans="1:39" ht="12.75" customHeight="1">
      <c r="A949" s="24"/>
      <c r="C949" s="42"/>
      <c r="D949" s="73"/>
      <c r="E949" s="45"/>
      <c r="F949" s="44"/>
      <c r="G949" s="45"/>
      <c r="I949" s="45"/>
      <c r="K949" s="45"/>
      <c r="M949" s="45"/>
      <c r="O949" s="45"/>
      <c r="Q949" s="45"/>
      <c r="W949" s="45"/>
      <c r="Y949" s="45"/>
      <c r="AA949" s="45"/>
      <c r="AE949" s="45"/>
      <c r="AG949" s="45"/>
      <c r="AI949" s="45"/>
      <c r="AK949" s="45"/>
      <c r="AM949" s="45"/>
    </row>
    <row r="950" spans="1:39" ht="12.75" customHeight="1">
      <c r="A950" s="24"/>
      <c r="C950" s="42"/>
      <c r="D950" s="73"/>
      <c r="E950" s="45"/>
      <c r="F950" s="44"/>
      <c r="G950" s="45"/>
      <c r="I950" s="45"/>
      <c r="K950" s="45"/>
      <c r="M950" s="45"/>
      <c r="O950" s="45"/>
      <c r="Q950" s="45"/>
      <c r="W950" s="45"/>
      <c r="Y950" s="45"/>
      <c r="AA950" s="45"/>
      <c r="AE950" s="45"/>
      <c r="AG950" s="45"/>
      <c r="AI950" s="45"/>
      <c r="AK950" s="45"/>
      <c r="AM950" s="45"/>
    </row>
    <row r="951" spans="1:39" ht="12.75" customHeight="1">
      <c r="A951" s="24"/>
      <c r="C951" s="42"/>
      <c r="D951" s="73"/>
      <c r="E951" s="45"/>
      <c r="F951" s="44"/>
      <c r="G951" s="45"/>
      <c r="I951" s="45"/>
      <c r="K951" s="45"/>
      <c r="M951" s="45"/>
      <c r="O951" s="45"/>
      <c r="Q951" s="45"/>
      <c r="W951" s="45"/>
      <c r="Y951" s="45"/>
      <c r="AA951" s="45"/>
      <c r="AE951" s="45"/>
      <c r="AG951" s="45"/>
      <c r="AI951" s="45"/>
      <c r="AK951" s="45"/>
      <c r="AM951" s="45"/>
    </row>
    <row r="952" spans="1:39" ht="12.75" customHeight="1">
      <c r="A952" s="24"/>
      <c r="C952" s="42"/>
      <c r="D952" s="73"/>
      <c r="E952" s="45"/>
      <c r="F952" s="44"/>
      <c r="G952" s="45"/>
      <c r="I952" s="45"/>
      <c r="K952" s="45"/>
      <c r="M952" s="45"/>
      <c r="O952" s="45"/>
      <c r="Q952" s="45"/>
      <c r="W952" s="45"/>
      <c r="Y952" s="45"/>
      <c r="AA952" s="45"/>
      <c r="AE952" s="45"/>
      <c r="AG952" s="45"/>
      <c r="AI952" s="45"/>
      <c r="AK952" s="45"/>
      <c r="AM952" s="45"/>
    </row>
    <row r="953" spans="1:39" ht="12.75" customHeight="1">
      <c r="A953" s="24"/>
      <c r="C953" s="42"/>
      <c r="D953" s="73"/>
      <c r="E953" s="45"/>
      <c r="F953" s="44"/>
      <c r="G953" s="45"/>
      <c r="I953" s="45"/>
      <c r="K953" s="45"/>
      <c r="M953" s="45"/>
      <c r="O953" s="45"/>
      <c r="Q953" s="45"/>
      <c r="W953" s="45"/>
      <c r="Y953" s="45"/>
      <c r="AA953" s="45"/>
      <c r="AE953" s="45"/>
      <c r="AG953" s="45"/>
      <c r="AI953" s="45"/>
      <c r="AK953" s="45"/>
      <c r="AM953" s="45"/>
    </row>
    <row r="954" spans="1:39" ht="12.75" customHeight="1">
      <c r="A954" s="24"/>
      <c r="C954" s="42"/>
      <c r="D954" s="73"/>
      <c r="E954" s="45"/>
      <c r="F954" s="44"/>
      <c r="G954" s="45"/>
      <c r="I954" s="45"/>
      <c r="K954" s="45"/>
      <c r="M954" s="45"/>
      <c r="O954" s="45"/>
      <c r="Q954" s="45"/>
      <c r="W954" s="45"/>
      <c r="Y954" s="45"/>
      <c r="AA954" s="45"/>
      <c r="AE954" s="45"/>
      <c r="AG954" s="45"/>
      <c r="AI954" s="45"/>
      <c r="AK954" s="45"/>
      <c r="AM954" s="45"/>
    </row>
    <row r="955" spans="1:39" ht="12.75" customHeight="1">
      <c r="A955" s="24"/>
      <c r="C955" s="42"/>
      <c r="D955" s="73"/>
      <c r="E955" s="45"/>
      <c r="F955" s="44"/>
      <c r="G955" s="45"/>
      <c r="I955" s="45"/>
      <c r="K955" s="45"/>
      <c r="M955" s="45"/>
      <c r="O955" s="45"/>
      <c r="Q955" s="45"/>
      <c r="W955" s="45"/>
      <c r="Y955" s="45"/>
      <c r="AA955" s="45"/>
      <c r="AE955" s="45"/>
      <c r="AG955" s="45"/>
      <c r="AI955" s="45"/>
      <c r="AK955" s="45"/>
      <c r="AM955" s="45"/>
    </row>
    <row r="956" spans="1:39" ht="12.75" customHeight="1">
      <c r="A956" s="24"/>
      <c r="C956" s="42"/>
      <c r="D956" s="73"/>
      <c r="E956" s="45"/>
      <c r="F956" s="44"/>
      <c r="G956" s="45"/>
      <c r="I956" s="45"/>
      <c r="K956" s="45"/>
      <c r="M956" s="45"/>
      <c r="O956" s="45"/>
      <c r="Q956" s="45"/>
      <c r="W956" s="45"/>
      <c r="Y956" s="45"/>
      <c r="AA956" s="45"/>
      <c r="AE956" s="45"/>
      <c r="AG956" s="45"/>
      <c r="AI956" s="45"/>
      <c r="AK956" s="45"/>
      <c r="AM956" s="45"/>
    </row>
    <row r="957" spans="1:39" ht="12.75" customHeight="1">
      <c r="A957" s="24"/>
      <c r="C957" s="42"/>
      <c r="D957" s="73"/>
      <c r="E957" s="45"/>
      <c r="F957" s="44"/>
      <c r="G957" s="45"/>
      <c r="I957" s="45"/>
      <c r="K957" s="45"/>
      <c r="M957" s="45"/>
      <c r="O957" s="45"/>
      <c r="Q957" s="45"/>
      <c r="W957" s="45"/>
      <c r="Y957" s="45"/>
      <c r="AA957" s="45"/>
      <c r="AE957" s="45"/>
      <c r="AG957" s="45"/>
      <c r="AI957" s="45"/>
      <c r="AK957" s="45"/>
      <c r="AM957" s="45"/>
    </row>
    <row r="958" spans="1:39" ht="12.75" customHeight="1">
      <c r="A958" s="24"/>
      <c r="C958" s="42"/>
      <c r="D958" s="73"/>
      <c r="E958" s="45"/>
      <c r="F958" s="44"/>
      <c r="G958" s="45"/>
      <c r="I958" s="45"/>
      <c r="K958" s="45"/>
      <c r="M958" s="45"/>
      <c r="O958" s="45"/>
      <c r="Q958" s="45"/>
      <c r="W958" s="45"/>
      <c r="Y958" s="45"/>
      <c r="AA958" s="45"/>
      <c r="AE958" s="45"/>
      <c r="AG958" s="45"/>
      <c r="AI958" s="45"/>
      <c r="AK958" s="45"/>
      <c r="AM958" s="45"/>
    </row>
    <row r="959" spans="1:39" ht="12.75" customHeight="1">
      <c r="A959" s="24"/>
      <c r="C959" s="42"/>
      <c r="D959" s="73"/>
      <c r="E959" s="45"/>
      <c r="F959" s="44"/>
      <c r="G959" s="45"/>
      <c r="I959" s="45"/>
      <c r="K959" s="45"/>
      <c r="M959" s="45"/>
      <c r="O959" s="45"/>
      <c r="Q959" s="45"/>
      <c r="W959" s="45"/>
      <c r="Y959" s="45"/>
      <c r="AA959" s="45"/>
      <c r="AE959" s="45"/>
      <c r="AG959" s="45"/>
      <c r="AI959" s="45"/>
      <c r="AK959" s="45"/>
      <c r="AM959" s="45"/>
    </row>
    <row r="960" spans="1:39" ht="12.75" customHeight="1">
      <c r="A960" s="24"/>
      <c r="C960" s="42"/>
      <c r="D960" s="73"/>
      <c r="E960" s="45"/>
      <c r="F960" s="44"/>
      <c r="G960" s="45"/>
      <c r="I960" s="45"/>
      <c r="K960" s="45"/>
      <c r="M960" s="45"/>
      <c r="O960" s="45"/>
      <c r="Q960" s="45"/>
      <c r="W960" s="45"/>
      <c r="Y960" s="45"/>
      <c r="AA960" s="45"/>
      <c r="AE960" s="45"/>
      <c r="AG960" s="45"/>
      <c r="AI960" s="45"/>
      <c r="AK960" s="45"/>
      <c r="AM960" s="45"/>
    </row>
    <row r="961" spans="1:39" ht="12.75" customHeight="1">
      <c r="A961" s="24"/>
      <c r="C961" s="42"/>
      <c r="D961" s="73"/>
      <c r="E961" s="45"/>
      <c r="F961" s="44"/>
      <c r="G961" s="45"/>
      <c r="I961" s="45"/>
      <c r="K961" s="45"/>
      <c r="M961" s="45"/>
      <c r="O961" s="45"/>
      <c r="Q961" s="45"/>
      <c r="W961" s="45"/>
      <c r="Y961" s="45"/>
      <c r="AA961" s="45"/>
      <c r="AE961" s="45"/>
      <c r="AG961" s="45"/>
      <c r="AI961" s="45"/>
      <c r="AK961" s="45"/>
      <c r="AM961" s="45"/>
    </row>
    <row r="962" spans="1:39" ht="12.75" customHeight="1">
      <c r="A962" s="24"/>
      <c r="C962" s="42"/>
      <c r="D962" s="73"/>
      <c r="E962" s="45"/>
      <c r="F962" s="44"/>
      <c r="G962" s="45"/>
      <c r="I962" s="45"/>
      <c r="K962" s="45"/>
      <c r="M962" s="45"/>
      <c r="O962" s="45"/>
      <c r="Q962" s="45"/>
      <c r="W962" s="45"/>
      <c r="Y962" s="45"/>
      <c r="AA962" s="45"/>
      <c r="AE962" s="45"/>
      <c r="AG962" s="45"/>
      <c r="AI962" s="45"/>
      <c r="AK962" s="45"/>
      <c r="AM962" s="45"/>
    </row>
    <row r="963" spans="1:39" ht="12.75" customHeight="1">
      <c r="A963" s="24"/>
      <c r="C963" s="42"/>
      <c r="D963" s="73"/>
      <c r="E963" s="45"/>
      <c r="F963" s="44"/>
      <c r="G963" s="45"/>
      <c r="I963" s="45"/>
      <c r="K963" s="45"/>
      <c r="M963" s="45"/>
      <c r="O963" s="45"/>
      <c r="Q963" s="45"/>
      <c r="W963" s="45"/>
      <c r="Y963" s="45"/>
      <c r="AA963" s="45"/>
      <c r="AE963" s="45"/>
      <c r="AG963" s="45"/>
      <c r="AI963" s="45"/>
      <c r="AK963" s="45"/>
      <c r="AM963" s="45"/>
    </row>
    <row r="964" spans="1:39" ht="12.75" customHeight="1">
      <c r="A964" s="24"/>
      <c r="C964" s="42"/>
      <c r="D964" s="73"/>
      <c r="E964" s="45"/>
      <c r="F964" s="44"/>
      <c r="G964" s="45"/>
      <c r="I964" s="45"/>
      <c r="K964" s="45"/>
      <c r="M964" s="45"/>
      <c r="O964" s="45"/>
      <c r="Q964" s="45"/>
      <c r="W964" s="45"/>
      <c r="Y964" s="45"/>
      <c r="AA964" s="45"/>
      <c r="AE964" s="45"/>
      <c r="AG964" s="45"/>
      <c r="AI964" s="45"/>
      <c r="AK964" s="45"/>
      <c r="AM964" s="45"/>
    </row>
    <row r="965" spans="1:39" ht="12.75" customHeight="1">
      <c r="A965" s="24"/>
      <c r="C965" s="42"/>
      <c r="D965" s="73"/>
      <c r="E965" s="45"/>
      <c r="F965" s="44"/>
      <c r="G965" s="45"/>
      <c r="I965" s="45"/>
      <c r="K965" s="45"/>
      <c r="M965" s="45"/>
      <c r="O965" s="45"/>
      <c r="Q965" s="45"/>
      <c r="W965" s="45"/>
      <c r="Y965" s="45"/>
      <c r="AA965" s="45"/>
      <c r="AE965" s="45"/>
      <c r="AG965" s="45"/>
      <c r="AI965" s="45"/>
      <c r="AK965" s="45"/>
      <c r="AM965" s="45"/>
    </row>
    <row r="966" spans="1:39" ht="12.75" customHeight="1">
      <c r="A966" s="24"/>
      <c r="C966" s="42"/>
      <c r="D966" s="73"/>
      <c r="E966" s="45"/>
      <c r="F966" s="44"/>
      <c r="G966" s="45"/>
      <c r="I966" s="45"/>
      <c r="K966" s="45"/>
      <c r="M966" s="45"/>
      <c r="O966" s="45"/>
      <c r="Q966" s="45"/>
      <c r="W966" s="45"/>
      <c r="Y966" s="45"/>
      <c r="AA966" s="45"/>
      <c r="AE966" s="45"/>
      <c r="AG966" s="45"/>
      <c r="AI966" s="45"/>
      <c r="AK966" s="45"/>
      <c r="AM966" s="45"/>
    </row>
    <row r="967" spans="1:39" ht="12.75" customHeight="1">
      <c r="A967" s="24"/>
      <c r="C967" s="42"/>
      <c r="D967" s="73"/>
      <c r="E967" s="45"/>
      <c r="F967" s="44"/>
      <c r="G967" s="45"/>
      <c r="I967" s="45"/>
      <c r="K967" s="45"/>
      <c r="M967" s="45"/>
      <c r="O967" s="45"/>
      <c r="Q967" s="45"/>
      <c r="W967" s="45"/>
      <c r="Y967" s="45"/>
      <c r="AA967" s="45"/>
      <c r="AE967" s="45"/>
      <c r="AG967" s="45"/>
      <c r="AI967" s="45"/>
      <c r="AK967" s="45"/>
      <c r="AM967" s="45"/>
    </row>
    <row r="968" spans="1:39" ht="12.75" customHeight="1">
      <c r="A968" s="24"/>
      <c r="C968" s="42"/>
      <c r="D968" s="73"/>
      <c r="E968" s="45"/>
      <c r="F968" s="44"/>
      <c r="G968" s="45"/>
      <c r="I968" s="45"/>
      <c r="K968" s="45"/>
      <c r="M968" s="45"/>
      <c r="O968" s="45"/>
      <c r="Q968" s="45"/>
      <c r="W968" s="45"/>
      <c r="Y968" s="45"/>
      <c r="AA968" s="45"/>
      <c r="AE968" s="45"/>
      <c r="AG968" s="45"/>
      <c r="AI968" s="45"/>
      <c r="AK968" s="45"/>
      <c r="AM968" s="45"/>
    </row>
    <row r="969" spans="1:39" ht="12.75" customHeight="1">
      <c r="A969" s="24"/>
      <c r="C969" s="42"/>
      <c r="D969" s="73"/>
      <c r="E969" s="45"/>
      <c r="F969" s="44"/>
      <c r="G969" s="45"/>
      <c r="I969" s="45"/>
      <c r="K969" s="45"/>
      <c r="M969" s="45"/>
      <c r="O969" s="45"/>
      <c r="Q969" s="45"/>
      <c r="W969" s="45"/>
      <c r="Y969" s="45"/>
      <c r="AA969" s="45"/>
      <c r="AE969" s="45"/>
      <c r="AG969" s="45"/>
      <c r="AI969" s="45"/>
      <c r="AK969" s="45"/>
      <c r="AM969" s="45"/>
    </row>
    <row r="970" spans="1:39" ht="12.75" customHeight="1">
      <c r="A970" s="24"/>
      <c r="C970" s="42"/>
      <c r="D970" s="73"/>
      <c r="E970" s="45"/>
      <c r="F970" s="44"/>
      <c r="G970" s="45"/>
      <c r="I970" s="45"/>
      <c r="K970" s="45"/>
      <c r="M970" s="45"/>
      <c r="O970" s="45"/>
      <c r="Q970" s="45"/>
      <c r="W970" s="45"/>
      <c r="Y970" s="45"/>
      <c r="AA970" s="45"/>
      <c r="AE970" s="45"/>
      <c r="AG970" s="45"/>
      <c r="AI970" s="45"/>
      <c r="AK970" s="45"/>
      <c r="AM970" s="45"/>
    </row>
    <row r="971" spans="1:39" ht="12.75" customHeight="1">
      <c r="A971" s="24"/>
      <c r="C971" s="42"/>
      <c r="D971" s="73"/>
      <c r="E971" s="45"/>
      <c r="F971" s="44"/>
      <c r="G971" s="45"/>
      <c r="I971" s="45"/>
      <c r="K971" s="45"/>
      <c r="M971" s="45"/>
      <c r="O971" s="45"/>
      <c r="Q971" s="45"/>
      <c r="W971" s="45"/>
      <c r="Y971" s="45"/>
      <c r="AA971" s="45"/>
      <c r="AE971" s="45"/>
      <c r="AG971" s="45"/>
      <c r="AI971" s="45"/>
      <c r="AK971" s="45"/>
      <c r="AM971" s="45"/>
    </row>
    <row r="972" spans="1:39" ht="12.75" customHeight="1">
      <c r="A972" s="24"/>
      <c r="C972" s="42"/>
      <c r="D972" s="73"/>
      <c r="E972" s="45"/>
      <c r="F972" s="44"/>
      <c r="G972" s="45"/>
      <c r="I972" s="45"/>
      <c r="K972" s="45"/>
      <c r="M972" s="45"/>
      <c r="O972" s="45"/>
      <c r="Q972" s="45"/>
      <c r="W972" s="45"/>
      <c r="Y972" s="45"/>
      <c r="AA972" s="45"/>
      <c r="AE972" s="45"/>
      <c r="AG972" s="45"/>
      <c r="AI972" s="45"/>
      <c r="AK972" s="45"/>
      <c r="AM972" s="45"/>
    </row>
    <row r="973" spans="1:39" ht="12.75" customHeight="1">
      <c r="A973" s="24"/>
      <c r="C973" s="42"/>
      <c r="D973" s="73"/>
      <c r="E973" s="45"/>
      <c r="F973" s="44"/>
      <c r="G973" s="45"/>
      <c r="I973" s="45"/>
      <c r="K973" s="45"/>
      <c r="M973" s="45"/>
      <c r="O973" s="45"/>
      <c r="Q973" s="45"/>
      <c r="W973" s="45"/>
      <c r="Y973" s="45"/>
      <c r="AA973" s="45"/>
      <c r="AE973" s="45"/>
      <c r="AG973" s="45"/>
      <c r="AI973" s="45"/>
      <c r="AK973" s="45"/>
      <c r="AM973" s="45"/>
    </row>
    <row r="974" spans="1:39" ht="12.75" customHeight="1">
      <c r="A974" s="24"/>
      <c r="C974" s="42"/>
      <c r="D974" s="73"/>
      <c r="E974" s="45"/>
      <c r="F974" s="44"/>
      <c r="G974" s="45"/>
      <c r="I974" s="45"/>
      <c r="K974" s="45"/>
      <c r="M974" s="45"/>
      <c r="O974" s="45"/>
      <c r="Q974" s="45"/>
      <c r="W974" s="45"/>
      <c r="Y974" s="45"/>
      <c r="AA974" s="45"/>
      <c r="AE974" s="45"/>
      <c r="AG974" s="45"/>
      <c r="AI974" s="45"/>
      <c r="AK974" s="45"/>
      <c r="AM974" s="45"/>
    </row>
    <row r="975" spans="1:39" ht="12.75" customHeight="1">
      <c r="A975" s="24"/>
      <c r="C975" s="42"/>
      <c r="D975" s="73"/>
      <c r="E975" s="45"/>
      <c r="F975" s="44"/>
      <c r="G975" s="45"/>
      <c r="I975" s="45"/>
      <c r="K975" s="45"/>
      <c r="M975" s="45"/>
      <c r="O975" s="45"/>
      <c r="Q975" s="45"/>
      <c r="W975" s="45"/>
      <c r="Y975" s="45"/>
      <c r="AA975" s="45"/>
      <c r="AE975" s="45"/>
      <c r="AG975" s="45"/>
      <c r="AI975" s="45"/>
      <c r="AK975" s="45"/>
      <c r="AM975" s="45"/>
    </row>
    <row r="976" spans="1:39" ht="12.75" customHeight="1">
      <c r="A976" s="24"/>
      <c r="C976" s="42"/>
      <c r="D976" s="73"/>
      <c r="E976" s="45"/>
      <c r="F976" s="44"/>
      <c r="G976" s="45"/>
      <c r="I976" s="45"/>
      <c r="K976" s="45"/>
      <c r="M976" s="45"/>
      <c r="O976" s="45"/>
      <c r="Q976" s="45"/>
      <c r="W976" s="45"/>
      <c r="Y976" s="45"/>
      <c r="AA976" s="45"/>
      <c r="AE976" s="45"/>
      <c r="AG976" s="45"/>
      <c r="AI976" s="45"/>
      <c r="AK976" s="45"/>
      <c r="AM976" s="45"/>
    </row>
    <row r="977" spans="1:39" ht="12.75" customHeight="1">
      <c r="A977" s="24"/>
      <c r="C977" s="42"/>
      <c r="D977" s="73"/>
      <c r="E977" s="45"/>
      <c r="F977" s="44"/>
      <c r="G977" s="45"/>
      <c r="I977" s="45"/>
      <c r="K977" s="45"/>
      <c r="M977" s="45"/>
      <c r="O977" s="45"/>
      <c r="Q977" s="45"/>
      <c r="W977" s="45"/>
      <c r="Y977" s="45"/>
      <c r="AA977" s="45"/>
      <c r="AE977" s="45"/>
      <c r="AG977" s="45"/>
      <c r="AI977" s="45"/>
      <c r="AK977" s="45"/>
      <c r="AM977" s="45"/>
    </row>
    <row r="978" spans="1:39" ht="12.75" customHeight="1">
      <c r="A978" s="24"/>
      <c r="C978" s="42"/>
      <c r="D978" s="73"/>
      <c r="E978" s="45"/>
      <c r="F978" s="44"/>
      <c r="G978" s="45"/>
      <c r="I978" s="45"/>
      <c r="K978" s="45"/>
      <c r="M978" s="45"/>
      <c r="O978" s="45"/>
      <c r="Q978" s="45"/>
      <c r="W978" s="45"/>
      <c r="Y978" s="45"/>
      <c r="AA978" s="45"/>
      <c r="AE978" s="45"/>
      <c r="AG978" s="45"/>
      <c r="AI978" s="45"/>
      <c r="AK978" s="45"/>
      <c r="AM978" s="45"/>
    </row>
    <row r="979" spans="1:39" ht="12.75" customHeight="1">
      <c r="A979" s="24"/>
      <c r="C979" s="42"/>
      <c r="D979" s="73"/>
      <c r="E979" s="45"/>
      <c r="F979" s="44"/>
      <c r="G979" s="45"/>
      <c r="I979" s="45"/>
      <c r="K979" s="45"/>
      <c r="M979" s="45"/>
      <c r="O979" s="45"/>
      <c r="Q979" s="45"/>
      <c r="W979" s="45"/>
      <c r="Y979" s="45"/>
      <c r="AA979" s="45"/>
      <c r="AE979" s="45"/>
      <c r="AG979" s="45"/>
      <c r="AI979" s="45"/>
      <c r="AK979" s="45"/>
      <c r="AM979" s="45"/>
    </row>
    <row r="980" spans="1:39" ht="12.75" customHeight="1">
      <c r="A980" s="24"/>
      <c r="C980" s="42"/>
      <c r="D980" s="73"/>
      <c r="E980" s="45"/>
      <c r="F980" s="44"/>
      <c r="G980" s="45"/>
      <c r="I980" s="45"/>
      <c r="K980" s="45"/>
      <c r="M980" s="45"/>
      <c r="O980" s="45"/>
      <c r="Q980" s="45"/>
      <c r="W980" s="45"/>
      <c r="Y980" s="45"/>
      <c r="AA980" s="45"/>
      <c r="AE980" s="45"/>
      <c r="AG980" s="45"/>
      <c r="AI980" s="45"/>
      <c r="AK980" s="45"/>
      <c r="AM980" s="45"/>
    </row>
    <row r="981" spans="1:39" ht="12.75" customHeight="1">
      <c r="A981" s="24"/>
      <c r="C981" s="42"/>
      <c r="D981" s="73"/>
      <c r="E981" s="45"/>
      <c r="F981" s="44"/>
      <c r="G981" s="45"/>
      <c r="I981" s="45"/>
      <c r="K981" s="45"/>
      <c r="M981" s="45"/>
      <c r="O981" s="45"/>
      <c r="Q981" s="45"/>
      <c r="W981" s="45"/>
      <c r="Y981" s="45"/>
      <c r="AA981" s="45"/>
      <c r="AE981" s="45"/>
      <c r="AG981" s="45"/>
      <c r="AI981" s="45"/>
      <c r="AK981" s="45"/>
      <c r="AM981" s="45"/>
    </row>
    <row r="982" spans="1:39" ht="12.75" customHeight="1">
      <c r="A982" s="24"/>
      <c r="C982" s="42"/>
      <c r="D982" s="73"/>
      <c r="E982" s="45"/>
      <c r="F982" s="44"/>
      <c r="G982" s="45"/>
      <c r="I982" s="45"/>
      <c r="K982" s="45"/>
      <c r="M982" s="45"/>
      <c r="O982" s="45"/>
      <c r="Q982" s="45"/>
      <c r="W982" s="45"/>
      <c r="Y982" s="45"/>
      <c r="AA982" s="45"/>
      <c r="AE982" s="45"/>
      <c r="AG982" s="45"/>
      <c r="AI982" s="45"/>
      <c r="AK982" s="45"/>
      <c r="AM982" s="45"/>
    </row>
    <row r="983" spans="1:39" ht="12.75" customHeight="1">
      <c r="A983" s="24"/>
      <c r="C983" s="42"/>
      <c r="D983" s="73"/>
      <c r="E983" s="45"/>
      <c r="F983" s="44"/>
      <c r="G983" s="45"/>
      <c r="I983" s="45"/>
      <c r="K983" s="45"/>
      <c r="M983" s="45"/>
      <c r="O983" s="45"/>
      <c r="Q983" s="45"/>
      <c r="W983" s="45"/>
      <c r="Y983" s="45"/>
      <c r="AA983" s="45"/>
      <c r="AE983" s="45"/>
      <c r="AG983" s="45"/>
      <c r="AI983" s="45"/>
      <c r="AK983" s="45"/>
      <c r="AM983" s="45"/>
    </row>
    <row r="984" spans="1:39" ht="12.75" customHeight="1">
      <c r="A984" s="24"/>
      <c r="C984" s="42"/>
      <c r="D984" s="73"/>
      <c r="E984" s="45"/>
      <c r="F984" s="44"/>
      <c r="G984" s="45"/>
      <c r="I984" s="45"/>
      <c r="K984" s="45"/>
      <c r="M984" s="45"/>
      <c r="O984" s="45"/>
      <c r="Q984" s="45"/>
      <c r="W984" s="45"/>
      <c r="Y984" s="45"/>
      <c r="AA984" s="45"/>
      <c r="AE984" s="45"/>
      <c r="AG984" s="45"/>
      <c r="AI984" s="45"/>
      <c r="AK984" s="45"/>
      <c r="AM984" s="45"/>
    </row>
    <row r="985" spans="1:39" ht="12.75" customHeight="1">
      <c r="A985" s="24"/>
      <c r="C985" s="42"/>
      <c r="D985" s="73"/>
      <c r="E985" s="45"/>
      <c r="F985" s="44"/>
      <c r="G985" s="45"/>
      <c r="I985" s="45"/>
      <c r="K985" s="45"/>
      <c r="M985" s="45"/>
      <c r="O985" s="45"/>
      <c r="Q985" s="45"/>
      <c r="W985" s="45"/>
      <c r="Y985" s="45"/>
      <c r="AA985" s="45"/>
      <c r="AE985" s="45"/>
      <c r="AG985" s="45"/>
      <c r="AI985" s="45"/>
      <c r="AK985" s="45"/>
      <c r="AM985" s="45"/>
    </row>
    <row r="986" spans="1:39" ht="12.75" customHeight="1">
      <c r="A986" s="24"/>
      <c r="C986" s="42"/>
      <c r="D986" s="73"/>
      <c r="E986" s="45"/>
      <c r="F986" s="44"/>
      <c r="G986" s="45"/>
      <c r="I986" s="45"/>
      <c r="K986" s="45"/>
      <c r="M986" s="45"/>
      <c r="O986" s="45"/>
      <c r="Q986" s="45"/>
      <c r="W986" s="45"/>
      <c r="Y986" s="45"/>
      <c r="AA986" s="45"/>
      <c r="AE986" s="45"/>
      <c r="AG986" s="45"/>
      <c r="AI986" s="45"/>
      <c r="AK986" s="45"/>
      <c r="AM986" s="45"/>
    </row>
    <row r="987" spans="1:39" ht="12.75" customHeight="1">
      <c r="A987" s="24"/>
      <c r="C987" s="42"/>
      <c r="D987" s="73"/>
      <c r="E987" s="45"/>
      <c r="F987" s="44"/>
      <c r="G987" s="45"/>
      <c r="I987" s="45"/>
      <c r="K987" s="45"/>
      <c r="M987" s="45"/>
      <c r="O987" s="45"/>
      <c r="Q987" s="45"/>
      <c r="W987" s="45"/>
      <c r="Y987" s="45"/>
      <c r="AA987" s="45"/>
      <c r="AE987" s="45"/>
      <c r="AG987" s="45"/>
      <c r="AI987" s="45"/>
      <c r="AK987" s="45"/>
      <c r="AM987" s="45"/>
    </row>
    <row r="988" spans="1:39" ht="12.75" customHeight="1">
      <c r="A988" s="24"/>
      <c r="C988" s="42"/>
      <c r="D988" s="73"/>
      <c r="E988" s="45"/>
      <c r="F988" s="44"/>
      <c r="G988" s="45"/>
      <c r="I988" s="45"/>
      <c r="K988" s="45"/>
      <c r="M988" s="45"/>
      <c r="O988" s="45"/>
      <c r="Q988" s="45"/>
      <c r="W988" s="45"/>
      <c r="Y988" s="45"/>
      <c r="AA988" s="45"/>
      <c r="AE988" s="45"/>
      <c r="AG988" s="45"/>
      <c r="AI988" s="45"/>
      <c r="AK988" s="45"/>
      <c r="AM988" s="45"/>
    </row>
    <row r="989" spans="1:39" ht="12.75" customHeight="1">
      <c r="A989" s="24"/>
      <c r="C989" s="42"/>
      <c r="D989" s="73"/>
      <c r="E989" s="45"/>
      <c r="F989" s="44"/>
      <c r="G989" s="45"/>
      <c r="I989" s="45"/>
      <c r="K989" s="45"/>
      <c r="M989" s="45"/>
      <c r="O989" s="45"/>
      <c r="Q989" s="45"/>
      <c r="W989" s="45"/>
      <c r="Y989" s="45"/>
      <c r="AA989" s="45"/>
      <c r="AE989" s="45"/>
      <c r="AG989" s="45"/>
      <c r="AI989" s="45"/>
      <c r="AK989" s="45"/>
      <c r="AM989" s="45"/>
    </row>
    <row r="990" spans="1:39" ht="12.75" customHeight="1">
      <c r="A990" s="24"/>
      <c r="C990" s="42"/>
      <c r="D990" s="73"/>
      <c r="E990" s="45"/>
      <c r="F990" s="44"/>
      <c r="G990" s="45"/>
      <c r="I990" s="45"/>
      <c r="K990" s="45"/>
      <c r="M990" s="45"/>
      <c r="O990" s="45"/>
      <c r="Q990" s="45"/>
      <c r="W990" s="45"/>
      <c r="Y990" s="45"/>
      <c r="AA990" s="45"/>
      <c r="AE990" s="45"/>
      <c r="AG990" s="45"/>
      <c r="AI990" s="45"/>
      <c r="AK990" s="45"/>
      <c r="AM990" s="45"/>
    </row>
    <row r="991" spans="1:39" ht="12.75" customHeight="1">
      <c r="A991" s="24"/>
      <c r="C991" s="42"/>
      <c r="D991" s="73"/>
      <c r="E991" s="45"/>
      <c r="F991" s="44"/>
      <c r="G991" s="45"/>
      <c r="I991" s="45"/>
      <c r="K991" s="45"/>
      <c r="M991" s="45"/>
      <c r="O991" s="45"/>
      <c r="Q991" s="45"/>
      <c r="W991" s="45"/>
      <c r="Y991" s="45"/>
      <c r="AA991" s="45"/>
      <c r="AE991" s="45"/>
      <c r="AG991" s="45"/>
      <c r="AI991" s="45"/>
      <c r="AK991" s="45"/>
      <c r="AM991" s="45"/>
    </row>
    <row r="992" spans="1:39" ht="12.75" customHeight="1">
      <c r="A992" s="24"/>
      <c r="C992" s="42"/>
      <c r="D992" s="73"/>
      <c r="E992" s="45"/>
      <c r="F992" s="44"/>
      <c r="G992" s="45"/>
      <c r="I992" s="45"/>
      <c r="K992" s="45"/>
      <c r="M992" s="45"/>
      <c r="O992" s="45"/>
      <c r="Q992" s="45"/>
      <c r="W992" s="45"/>
      <c r="Y992" s="45"/>
      <c r="AA992" s="45"/>
      <c r="AE992" s="45"/>
      <c r="AG992" s="45"/>
      <c r="AI992" s="45"/>
      <c r="AK992" s="45"/>
      <c r="AM992" s="45"/>
    </row>
    <row r="993" spans="1:39" ht="12.75" customHeight="1">
      <c r="A993" s="24"/>
      <c r="C993" s="42"/>
      <c r="D993" s="73"/>
      <c r="E993" s="45"/>
      <c r="F993" s="44"/>
      <c r="G993" s="45"/>
      <c r="I993" s="45"/>
      <c r="K993" s="45"/>
      <c r="M993" s="45"/>
      <c r="O993" s="45"/>
      <c r="Q993" s="45"/>
      <c r="W993" s="45"/>
      <c r="Y993" s="45"/>
      <c r="AA993" s="45"/>
      <c r="AE993" s="45"/>
      <c r="AG993" s="45"/>
      <c r="AI993" s="45"/>
      <c r="AK993" s="45"/>
      <c r="AM993" s="45"/>
    </row>
    <row r="994" spans="1:39" ht="12.75" customHeight="1">
      <c r="A994" s="24"/>
      <c r="C994" s="42"/>
      <c r="D994" s="73"/>
      <c r="E994" s="45"/>
      <c r="F994" s="44"/>
      <c r="G994" s="45"/>
      <c r="I994" s="45"/>
      <c r="K994" s="45"/>
      <c r="M994" s="45"/>
      <c r="O994" s="45"/>
      <c r="Q994" s="45"/>
      <c r="W994" s="45"/>
      <c r="Y994" s="45"/>
      <c r="AA994" s="45"/>
      <c r="AE994" s="45"/>
      <c r="AG994" s="45"/>
      <c r="AI994" s="45"/>
      <c r="AK994" s="45"/>
      <c r="AM994" s="45"/>
    </row>
    <row r="995" spans="1:39" ht="12.75" customHeight="1">
      <c r="A995" s="24"/>
      <c r="C995" s="42"/>
      <c r="D995" s="73"/>
      <c r="E995" s="45"/>
      <c r="F995" s="44"/>
      <c r="G995" s="45"/>
      <c r="I995" s="45"/>
      <c r="K995" s="45"/>
      <c r="M995" s="45"/>
      <c r="O995" s="45"/>
      <c r="Q995" s="45"/>
      <c r="W995" s="45"/>
      <c r="Y995" s="45"/>
      <c r="AA995" s="45"/>
      <c r="AE995" s="45"/>
      <c r="AG995" s="45"/>
      <c r="AI995" s="45"/>
      <c r="AK995" s="45"/>
      <c r="AM995" s="45"/>
    </row>
    <row r="996" spans="1:39" ht="12.75" customHeight="1">
      <c r="A996" s="24"/>
      <c r="C996" s="42"/>
      <c r="D996" s="73"/>
      <c r="E996" s="45"/>
      <c r="F996" s="44"/>
      <c r="G996" s="45"/>
      <c r="I996" s="45"/>
      <c r="K996" s="45"/>
      <c r="M996" s="45"/>
      <c r="O996" s="45"/>
      <c r="Q996" s="45"/>
      <c r="W996" s="45"/>
      <c r="Y996" s="45"/>
      <c r="AA996" s="45"/>
      <c r="AE996" s="45"/>
      <c r="AG996" s="45"/>
      <c r="AI996" s="45"/>
      <c r="AK996" s="45"/>
      <c r="AM996" s="45"/>
    </row>
    <row r="997" spans="1:39" ht="12.75" customHeight="1">
      <c r="A997" s="24"/>
      <c r="C997" s="42"/>
      <c r="D997" s="73"/>
      <c r="E997" s="45"/>
      <c r="F997" s="44"/>
      <c r="G997" s="45"/>
      <c r="I997" s="45"/>
      <c r="K997" s="45"/>
      <c r="M997" s="45"/>
      <c r="O997" s="45"/>
      <c r="Q997" s="45"/>
      <c r="W997" s="45"/>
      <c r="Y997" s="45"/>
      <c r="AA997" s="45"/>
      <c r="AE997" s="45"/>
      <c r="AG997" s="45"/>
      <c r="AI997" s="45"/>
      <c r="AK997" s="45"/>
      <c r="AM997" s="45"/>
    </row>
    <row r="998" spans="1:39" ht="12.75" customHeight="1">
      <c r="A998" s="24"/>
      <c r="C998" s="42"/>
      <c r="D998" s="73"/>
      <c r="E998" s="45"/>
      <c r="F998" s="44"/>
      <c r="G998" s="45"/>
      <c r="I998" s="45"/>
      <c r="K998" s="45"/>
      <c r="M998" s="45"/>
      <c r="O998" s="45"/>
      <c r="Q998" s="45"/>
      <c r="W998" s="45"/>
      <c r="Y998" s="45"/>
      <c r="AA998" s="45"/>
      <c r="AE998" s="45"/>
      <c r="AG998" s="45"/>
      <c r="AI998" s="45"/>
      <c r="AK998" s="45"/>
      <c r="AM998" s="45"/>
    </row>
    <row r="999" spans="1:39" ht="12.75" customHeight="1">
      <c r="A999" s="24"/>
      <c r="C999" s="42"/>
      <c r="D999" s="73"/>
      <c r="E999" s="45"/>
      <c r="F999" s="44"/>
      <c r="G999" s="45"/>
      <c r="I999" s="45"/>
      <c r="K999" s="45"/>
      <c r="M999" s="45"/>
      <c r="O999" s="45"/>
      <c r="Q999" s="45"/>
      <c r="W999" s="45"/>
      <c r="Y999" s="45"/>
      <c r="AA999" s="45"/>
      <c r="AE999" s="45"/>
      <c r="AG999" s="45"/>
      <c r="AI999" s="45"/>
      <c r="AK999" s="45"/>
      <c r="AM999" s="45"/>
    </row>
    <row r="1000" spans="1:39" ht="12.75" customHeight="1">
      <c r="A1000" s="24"/>
      <c r="C1000" s="42"/>
      <c r="D1000" s="73"/>
      <c r="E1000" s="45"/>
      <c r="F1000" s="44"/>
      <c r="G1000" s="45"/>
      <c r="I1000" s="45"/>
      <c r="K1000" s="45"/>
      <c r="M1000" s="45"/>
      <c r="O1000" s="45"/>
      <c r="Q1000" s="45"/>
      <c r="W1000" s="45"/>
      <c r="Y1000" s="45"/>
      <c r="AA1000" s="45"/>
      <c r="AE1000" s="45"/>
      <c r="AG1000" s="45"/>
      <c r="AI1000" s="45"/>
      <c r="AK1000" s="45"/>
      <c r="AM1000" s="45"/>
    </row>
    <row r="1001" spans="1:39" ht="12.75" customHeight="1">
      <c r="A1001" s="24"/>
      <c r="C1001" s="42"/>
      <c r="D1001" s="73"/>
      <c r="E1001" s="45"/>
      <c r="F1001" s="44"/>
      <c r="G1001" s="45"/>
      <c r="I1001" s="45"/>
      <c r="K1001" s="45"/>
      <c r="M1001" s="45"/>
      <c r="O1001" s="45"/>
      <c r="Q1001" s="45"/>
      <c r="W1001" s="45"/>
      <c r="Y1001" s="45"/>
      <c r="AA1001" s="45"/>
      <c r="AE1001" s="45"/>
      <c r="AG1001" s="45"/>
      <c r="AI1001" s="45"/>
      <c r="AK1001" s="45"/>
      <c r="AM1001" s="45"/>
    </row>
    <row r="1002" spans="1:39" ht="12.75" customHeight="1">
      <c r="A1002" s="24"/>
      <c r="C1002" s="42"/>
      <c r="D1002" s="73"/>
      <c r="E1002" s="45"/>
      <c r="F1002" s="44"/>
      <c r="G1002" s="45"/>
      <c r="I1002" s="45"/>
      <c r="K1002" s="45"/>
      <c r="M1002" s="45"/>
      <c r="O1002" s="45"/>
      <c r="Q1002" s="45"/>
      <c r="W1002" s="45"/>
      <c r="Y1002" s="45"/>
      <c r="AA1002" s="45"/>
      <c r="AE1002" s="45"/>
      <c r="AG1002" s="45"/>
      <c r="AI1002" s="45"/>
      <c r="AK1002" s="45"/>
      <c r="AM1002" s="45"/>
    </row>
    <row r="1003" spans="1:39" ht="12.75" customHeight="1">
      <c r="A1003" s="24"/>
      <c r="C1003" s="42"/>
      <c r="D1003" s="73"/>
      <c r="E1003" s="45"/>
      <c r="F1003" s="44"/>
      <c r="G1003" s="45"/>
      <c r="I1003" s="45"/>
      <c r="K1003" s="45"/>
      <c r="M1003" s="45"/>
      <c r="O1003" s="45"/>
      <c r="Q1003" s="45"/>
      <c r="W1003" s="45"/>
      <c r="Y1003" s="45"/>
      <c r="AA1003" s="45"/>
      <c r="AE1003" s="45"/>
      <c r="AG1003" s="45"/>
      <c r="AI1003" s="45"/>
      <c r="AK1003" s="45"/>
      <c r="AM1003" s="45"/>
    </row>
    <row r="1004" spans="1:39" ht="12.75" customHeight="1">
      <c r="A1004" s="24"/>
      <c r="C1004" s="42"/>
      <c r="D1004" s="73"/>
      <c r="E1004" s="45"/>
      <c r="F1004" s="44"/>
      <c r="G1004" s="45"/>
      <c r="I1004" s="45"/>
      <c r="K1004" s="45"/>
      <c r="M1004" s="45"/>
      <c r="O1004" s="45"/>
      <c r="Q1004" s="45"/>
      <c r="W1004" s="45"/>
      <c r="Y1004" s="45"/>
      <c r="AA1004" s="45"/>
      <c r="AE1004" s="45"/>
      <c r="AG1004" s="45"/>
      <c r="AI1004" s="45"/>
      <c r="AK1004" s="45"/>
      <c r="AM1004" s="45"/>
    </row>
    <row r="1005" spans="1:39" ht="12.75" customHeight="1">
      <c r="A1005" s="24"/>
      <c r="C1005" s="42"/>
      <c r="D1005" s="73"/>
      <c r="E1005" s="45"/>
      <c r="F1005" s="44"/>
      <c r="G1005" s="45"/>
      <c r="I1005" s="45"/>
      <c r="K1005" s="45"/>
      <c r="M1005" s="45"/>
      <c r="O1005" s="45"/>
      <c r="Q1005" s="45"/>
      <c r="W1005" s="45"/>
      <c r="Y1005" s="45"/>
      <c r="AA1005" s="45"/>
      <c r="AE1005" s="45"/>
      <c r="AG1005" s="45"/>
      <c r="AI1005" s="45"/>
      <c r="AK1005" s="45"/>
      <c r="AM1005" s="45"/>
    </row>
    <row r="1006" spans="1:39" ht="12.75" customHeight="1">
      <c r="A1006" s="24"/>
      <c r="C1006" s="42"/>
      <c r="D1006" s="73"/>
      <c r="E1006" s="45"/>
      <c r="F1006" s="44"/>
      <c r="G1006" s="45"/>
      <c r="I1006" s="45"/>
      <c r="K1006" s="45"/>
      <c r="M1006" s="45"/>
      <c r="O1006" s="45"/>
      <c r="Q1006" s="45"/>
      <c r="W1006" s="45"/>
      <c r="Y1006" s="45"/>
      <c r="AA1006" s="45"/>
      <c r="AE1006" s="45"/>
      <c r="AG1006" s="45"/>
      <c r="AI1006" s="45"/>
      <c r="AK1006" s="45"/>
      <c r="AM1006" s="45"/>
    </row>
    <row r="1007" spans="1:39" ht="12.75" customHeight="1">
      <c r="A1007" s="24"/>
      <c r="C1007" s="42"/>
      <c r="D1007" s="73"/>
      <c r="E1007" s="45"/>
      <c r="F1007" s="44"/>
      <c r="G1007" s="45"/>
      <c r="I1007" s="45"/>
      <c r="K1007" s="45"/>
      <c r="M1007" s="45"/>
      <c r="O1007" s="45"/>
      <c r="Q1007" s="45"/>
      <c r="W1007" s="45"/>
      <c r="Y1007" s="45"/>
      <c r="AA1007" s="45"/>
      <c r="AE1007" s="45"/>
      <c r="AG1007" s="45"/>
      <c r="AI1007" s="45"/>
      <c r="AK1007" s="45"/>
      <c r="AM1007" s="45"/>
    </row>
    <row r="1008" spans="1:39" ht="12.75" customHeight="1">
      <c r="A1008" s="24"/>
      <c r="C1008" s="42"/>
      <c r="D1008" s="73"/>
      <c r="E1008" s="45"/>
      <c r="F1008" s="44"/>
      <c r="G1008" s="45"/>
      <c r="I1008" s="45"/>
      <c r="K1008" s="45"/>
      <c r="M1008" s="45"/>
      <c r="O1008" s="45"/>
      <c r="Q1008" s="45"/>
      <c r="W1008" s="45"/>
      <c r="Y1008" s="45"/>
      <c r="AA1008" s="45"/>
      <c r="AE1008" s="45"/>
      <c r="AG1008" s="45"/>
      <c r="AI1008" s="45"/>
      <c r="AK1008" s="45"/>
      <c r="AM1008" s="45"/>
    </row>
    <row r="1009" spans="1:39" ht="12.75" customHeight="1">
      <c r="A1009" s="24"/>
      <c r="C1009" s="42"/>
      <c r="D1009" s="73"/>
      <c r="E1009" s="45"/>
      <c r="F1009" s="44"/>
      <c r="G1009" s="45"/>
      <c r="I1009" s="45"/>
      <c r="K1009" s="45"/>
      <c r="M1009" s="45"/>
      <c r="O1009" s="45"/>
      <c r="Q1009" s="45"/>
      <c r="W1009" s="45"/>
      <c r="Y1009" s="45"/>
      <c r="AA1009" s="45"/>
      <c r="AE1009" s="45"/>
      <c r="AG1009" s="45"/>
      <c r="AI1009" s="45"/>
      <c r="AK1009" s="45"/>
      <c r="AM1009" s="45"/>
    </row>
    <row r="1010" spans="1:39" ht="12.75" customHeight="1">
      <c r="A1010" s="24"/>
      <c r="C1010" s="42"/>
      <c r="D1010" s="73"/>
      <c r="E1010" s="45"/>
      <c r="F1010" s="44"/>
      <c r="G1010" s="45"/>
      <c r="I1010" s="45"/>
      <c r="K1010" s="45"/>
      <c r="M1010" s="45"/>
      <c r="O1010" s="45"/>
      <c r="Q1010" s="45"/>
      <c r="W1010" s="45"/>
      <c r="Y1010" s="45"/>
      <c r="AA1010" s="45"/>
      <c r="AE1010" s="45"/>
      <c r="AG1010" s="45"/>
      <c r="AI1010" s="45"/>
      <c r="AK1010" s="45"/>
      <c r="AM1010" s="45"/>
    </row>
    <row r="1011" spans="1:39" ht="12.75" customHeight="1">
      <c r="A1011" s="24"/>
      <c r="C1011" s="42"/>
      <c r="D1011" s="73"/>
      <c r="E1011" s="45"/>
      <c r="F1011" s="44"/>
      <c r="G1011" s="45"/>
      <c r="I1011" s="45"/>
      <c r="K1011" s="45"/>
      <c r="M1011" s="45"/>
      <c r="O1011" s="45"/>
      <c r="Q1011" s="45"/>
      <c r="W1011" s="45"/>
      <c r="Y1011" s="45"/>
      <c r="AA1011" s="45"/>
      <c r="AE1011" s="45"/>
      <c r="AG1011" s="45"/>
      <c r="AI1011" s="45"/>
      <c r="AK1011" s="45"/>
      <c r="AM1011" s="45"/>
    </row>
    <row r="1012" spans="1:39" ht="12.75" customHeight="1">
      <c r="A1012" s="24"/>
      <c r="C1012" s="42"/>
      <c r="D1012" s="73"/>
      <c r="E1012" s="45"/>
      <c r="F1012" s="44"/>
      <c r="G1012" s="45"/>
      <c r="I1012" s="45"/>
      <c r="K1012" s="45"/>
      <c r="M1012" s="45"/>
      <c r="O1012" s="45"/>
      <c r="Q1012" s="45"/>
      <c r="W1012" s="45"/>
      <c r="Y1012" s="45"/>
      <c r="AA1012" s="45"/>
      <c r="AE1012" s="45"/>
      <c r="AG1012" s="45"/>
      <c r="AI1012" s="45"/>
      <c r="AK1012" s="45"/>
      <c r="AM1012" s="45"/>
    </row>
    <row r="1013" spans="1:39" ht="12.75" customHeight="1">
      <c r="A1013" s="24"/>
      <c r="C1013" s="42"/>
      <c r="D1013" s="73"/>
      <c r="E1013" s="45"/>
      <c r="F1013" s="44"/>
      <c r="G1013" s="45"/>
      <c r="I1013" s="45"/>
      <c r="K1013" s="45"/>
      <c r="M1013" s="45"/>
      <c r="O1013" s="45"/>
      <c r="Q1013" s="45"/>
      <c r="W1013" s="45"/>
      <c r="Y1013" s="45"/>
      <c r="AA1013" s="45"/>
      <c r="AE1013" s="45"/>
      <c r="AG1013" s="45"/>
      <c r="AI1013" s="45"/>
      <c r="AK1013" s="45"/>
      <c r="AM1013" s="45"/>
    </row>
    <row r="1014" spans="1:39" ht="12.75" customHeight="1">
      <c r="A1014" s="24"/>
      <c r="C1014" s="42"/>
      <c r="D1014" s="73"/>
      <c r="E1014" s="45"/>
      <c r="F1014" s="44"/>
      <c r="G1014" s="45"/>
      <c r="I1014" s="45"/>
      <c r="K1014" s="45"/>
      <c r="M1014" s="45"/>
      <c r="O1014" s="45"/>
      <c r="Q1014" s="45"/>
      <c r="W1014" s="45"/>
      <c r="Y1014" s="45"/>
      <c r="AA1014" s="45"/>
      <c r="AE1014" s="45"/>
      <c r="AG1014" s="45"/>
      <c r="AI1014" s="45"/>
      <c r="AK1014" s="45"/>
      <c r="AM1014" s="45"/>
    </row>
    <row r="1015" spans="1:39" ht="12.75" customHeight="1">
      <c r="A1015" s="24"/>
      <c r="C1015" s="42"/>
      <c r="D1015" s="73"/>
      <c r="E1015" s="45"/>
      <c r="F1015" s="44"/>
      <c r="G1015" s="45"/>
      <c r="I1015" s="45"/>
      <c r="K1015" s="45"/>
      <c r="M1015" s="45"/>
      <c r="O1015" s="45"/>
      <c r="Q1015" s="45"/>
      <c r="W1015" s="45"/>
      <c r="Y1015" s="45"/>
      <c r="AA1015" s="45"/>
      <c r="AE1015" s="45"/>
      <c r="AG1015" s="45"/>
      <c r="AI1015" s="45"/>
      <c r="AK1015" s="45"/>
      <c r="AM1015" s="45"/>
    </row>
    <row r="1016" spans="1:39" ht="12.75" customHeight="1">
      <c r="A1016" s="24"/>
      <c r="C1016" s="42"/>
      <c r="D1016" s="73"/>
      <c r="E1016" s="45"/>
      <c r="F1016" s="44"/>
      <c r="G1016" s="45"/>
      <c r="I1016" s="45"/>
      <c r="K1016" s="45"/>
      <c r="M1016" s="45"/>
      <c r="O1016" s="45"/>
      <c r="Q1016" s="45"/>
      <c r="W1016" s="45"/>
      <c r="Y1016" s="45"/>
      <c r="AA1016" s="45"/>
      <c r="AE1016" s="45"/>
      <c r="AG1016" s="45"/>
      <c r="AI1016" s="45"/>
      <c r="AK1016" s="45"/>
      <c r="AM1016" s="45"/>
    </row>
    <row r="1017" spans="1:39" ht="12.75" customHeight="1">
      <c r="A1017" s="24"/>
      <c r="C1017" s="42"/>
      <c r="D1017" s="73"/>
      <c r="E1017" s="45"/>
      <c r="F1017" s="44"/>
      <c r="G1017" s="45"/>
      <c r="I1017" s="45"/>
      <c r="K1017" s="45"/>
      <c r="M1017" s="45"/>
      <c r="O1017" s="45"/>
      <c r="Q1017" s="45"/>
      <c r="W1017" s="45"/>
      <c r="Y1017" s="45"/>
      <c r="AA1017" s="45"/>
      <c r="AE1017" s="45"/>
      <c r="AG1017" s="45"/>
      <c r="AI1017" s="45"/>
      <c r="AK1017" s="45"/>
      <c r="AM1017" s="45"/>
    </row>
    <row r="1018" spans="1:39" ht="12.75" customHeight="1">
      <c r="A1018" s="24"/>
      <c r="C1018" s="42"/>
      <c r="D1018" s="73"/>
      <c r="E1018" s="45"/>
      <c r="F1018" s="44"/>
      <c r="G1018" s="45"/>
      <c r="I1018" s="45"/>
      <c r="K1018" s="45"/>
      <c r="M1018" s="45"/>
      <c r="O1018" s="45"/>
      <c r="Q1018" s="45"/>
      <c r="W1018" s="45"/>
      <c r="Y1018" s="45"/>
      <c r="AA1018" s="45"/>
      <c r="AE1018" s="45"/>
      <c r="AG1018" s="45"/>
      <c r="AI1018" s="45"/>
      <c r="AK1018" s="45"/>
      <c r="AM1018" s="45"/>
    </row>
    <row r="1019" spans="1:39" ht="12.75" customHeight="1">
      <c r="A1019" s="24"/>
      <c r="C1019" s="42"/>
      <c r="D1019" s="73"/>
      <c r="E1019" s="45"/>
      <c r="F1019" s="44"/>
      <c r="G1019" s="45"/>
      <c r="I1019" s="45"/>
      <c r="K1019" s="45"/>
      <c r="M1019" s="45"/>
      <c r="O1019" s="45"/>
      <c r="Q1019" s="45"/>
      <c r="W1019" s="45"/>
      <c r="Y1019" s="45"/>
      <c r="AA1019" s="45"/>
      <c r="AE1019" s="45"/>
      <c r="AG1019" s="45"/>
      <c r="AI1019" s="45"/>
      <c r="AK1019" s="45"/>
      <c r="AM1019" s="45"/>
    </row>
    <row r="1020" spans="1:39" ht="12.75" customHeight="1">
      <c r="A1020" s="24"/>
      <c r="C1020" s="42"/>
      <c r="D1020" s="73"/>
      <c r="E1020" s="45"/>
      <c r="F1020" s="44"/>
      <c r="G1020" s="45"/>
      <c r="I1020" s="45"/>
      <c r="K1020" s="45"/>
      <c r="M1020" s="45"/>
      <c r="O1020" s="45"/>
      <c r="Q1020" s="45"/>
      <c r="W1020" s="45"/>
      <c r="Y1020" s="45"/>
      <c r="AA1020" s="45"/>
      <c r="AE1020" s="45"/>
      <c r="AG1020" s="45"/>
      <c r="AI1020" s="45"/>
      <c r="AK1020" s="45"/>
      <c r="AM1020" s="45"/>
    </row>
    <row r="1021" spans="1:39" ht="12.75" customHeight="1">
      <c r="A1021" s="24"/>
      <c r="C1021" s="42"/>
      <c r="D1021" s="73"/>
      <c r="E1021" s="45"/>
      <c r="F1021" s="44"/>
      <c r="G1021" s="45"/>
      <c r="I1021" s="45"/>
      <c r="K1021" s="45"/>
      <c r="M1021" s="45"/>
      <c r="O1021" s="45"/>
      <c r="Q1021" s="45"/>
      <c r="W1021" s="45"/>
      <c r="Y1021" s="45"/>
      <c r="AA1021" s="45"/>
      <c r="AE1021" s="45"/>
      <c r="AG1021" s="45"/>
      <c r="AI1021" s="45"/>
      <c r="AK1021" s="45"/>
      <c r="AM1021" s="45"/>
    </row>
    <row r="1022" spans="1:39" ht="12.75" customHeight="1">
      <c r="A1022" s="24"/>
      <c r="C1022" s="42"/>
      <c r="D1022" s="73"/>
      <c r="E1022" s="45"/>
      <c r="F1022" s="44"/>
      <c r="G1022" s="45"/>
      <c r="I1022" s="45"/>
      <c r="K1022" s="45"/>
      <c r="M1022" s="45"/>
      <c r="O1022" s="45"/>
      <c r="Q1022" s="45"/>
      <c r="W1022" s="45"/>
      <c r="Y1022" s="45"/>
      <c r="AA1022" s="45"/>
      <c r="AE1022" s="45"/>
      <c r="AG1022" s="45"/>
      <c r="AI1022" s="45"/>
      <c r="AK1022" s="45"/>
      <c r="AM1022" s="45"/>
    </row>
    <row r="1023" spans="1:39" ht="12.75" customHeight="1">
      <c r="A1023" s="24"/>
      <c r="C1023" s="42"/>
      <c r="D1023" s="73"/>
      <c r="E1023" s="45"/>
      <c r="F1023" s="44"/>
      <c r="G1023" s="45"/>
      <c r="I1023" s="45"/>
      <c r="K1023" s="45"/>
      <c r="M1023" s="45"/>
      <c r="O1023" s="45"/>
      <c r="Q1023" s="45"/>
      <c r="W1023" s="45"/>
      <c r="Y1023" s="45"/>
      <c r="AA1023" s="45"/>
      <c r="AE1023" s="45"/>
      <c r="AG1023" s="45"/>
      <c r="AI1023" s="45"/>
      <c r="AK1023" s="45"/>
      <c r="AM1023" s="45"/>
    </row>
    <row r="1024" spans="1:39" ht="12.75" customHeight="1">
      <c r="A1024" s="24"/>
      <c r="C1024" s="42"/>
      <c r="D1024" s="73"/>
      <c r="E1024" s="45"/>
      <c r="F1024" s="44"/>
      <c r="G1024" s="45"/>
      <c r="I1024" s="45"/>
      <c r="K1024" s="45"/>
      <c r="M1024" s="45"/>
      <c r="O1024" s="45"/>
      <c r="Q1024" s="45"/>
      <c r="W1024" s="45"/>
      <c r="Y1024" s="45"/>
      <c r="AA1024" s="45"/>
      <c r="AE1024" s="45"/>
      <c r="AG1024" s="45"/>
      <c r="AI1024" s="45"/>
      <c r="AK1024" s="45"/>
      <c r="AM1024" s="45"/>
    </row>
    <row r="1025" spans="1:39" ht="12.75" customHeight="1">
      <c r="A1025" s="24"/>
      <c r="C1025" s="42"/>
      <c r="D1025" s="73"/>
      <c r="E1025" s="45"/>
      <c r="F1025" s="44"/>
      <c r="G1025" s="45"/>
      <c r="I1025" s="45"/>
      <c r="K1025" s="45"/>
      <c r="M1025" s="45"/>
      <c r="O1025" s="45"/>
      <c r="Q1025" s="45"/>
      <c r="W1025" s="45"/>
      <c r="Y1025" s="45"/>
      <c r="AA1025" s="45"/>
      <c r="AE1025" s="45"/>
      <c r="AG1025" s="45"/>
      <c r="AI1025" s="45"/>
      <c r="AK1025" s="45"/>
      <c r="AM1025" s="45"/>
    </row>
    <row r="1026" spans="1:39" ht="12.75" customHeight="1">
      <c r="A1026" s="24"/>
      <c r="C1026" s="42"/>
      <c r="D1026" s="73"/>
      <c r="E1026" s="45"/>
      <c r="F1026" s="44"/>
      <c r="G1026" s="45"/>
      <c r="I1026" s="45"/>
      <c r="K1026" s="45"/>
      <c r="M1026" s="45"/>
      <c r="O1026" s="45"/>
      <c r="Q1026" s="45"/>
      <c r="W1026" s="45"/>
      <c r="Y1026" s="45"/>
      <c r="AA1026" s="45"/>
      <c r="AE1026" s="45"/>
      <c r="AG1026" s="45"/>
      <c r="AI1026" s="45"/>
      <c r="AK1026" s="45"/>
      <c r="AM1026" s="45"/>
    </row>
    <row r="1027" spans="1:39" ht="12.75" customHeight="1">
      <c r="A1027" s="24"/>
      <c r="C1027" s="42"/>
      <c r="D1027" s="73"/>
      <c r="E1027" s="45"/>
      <c r="F1027" s="44"/>
      <c r="G1027" s="45"/>
      <c r="I1027" s="45"/>
      <c r="K1027" s="45"/>
      <c r="M1027" s="45"/>
      <c r="O1027" s="45"/>
      <c r="Q1027" s="45"/>
      <c r="W1027" s="45"/>
      <c r="Y1027" s="45"/>
      <c r="AA1027" s="45"/>
      <c r="AE1027" s="45"/>
      <c r="AG1027" s="45"/>
      <c r="AI1027" s="45"/>
      <c r="AK1027" s="45"/>
      <c r="AM1027" s="45"/>
    </row>
    <row r="1028" spans="1:39" ht="12.75" customHeight="1">
      <c r="A1028" s="24"/>
      <c r="C1028" s="42"/>
      <c r="D1028" s="73"/>
      <c r="E1028" s="45"/>
      <c r="F1028" s="44"/>
      <c r="G1028" s="45"/>
      <c r="I1028" s="45"/>
      <c r="K1028" s="45"/>
      <c r="M1028" s="45"/>
      <c r="O1028" s="45"/>
      <c r="Q1028" s="45"/>
      <c r="W1028" s="45"/>
      <c r="Y1028" s="45"/>
      <c r="AA1028" s="45"/>
      <c r="AE1028" s="45"/>
      <c r="AG1028" s="45"/>
      <c r="AI1028" s="45"/>
      <c r="AK1028" s="45"/>
      <c r="AM1028" s="45"/>
    </row>
    <row r="1029" spans="1:39" ht="12.75" customHeight="1">
      <c r="A1029" s="24"/>
      <c r="C1029" s="42"/>
      <c r="D1029" s="73"/>
      <c r="E1029" s="45"/>
      <c r="F1029" s="44"/>
      <c r="G1029" s="45"/>
      <c r="I1029" s="45"/>
      <c r="K1029" s="45"/>
      <c r="M1029" s="45"/>
      <c r="O1029" s="45"/>
      <c r="Q1029" s="45"/>
      <c r="W1029" s="45"/>
      <c r="Y1029" s="45"/>
      <c r="AA1029" s="45"/>
      <c r="AE1029" s="45"/>
      <c r="AG1029" s="45"/>
      <c r="AI1029" s="45"/>
      <c r="AK1029" s="45"/>
      <c r="AM1029" s="45"/>
    </row>
    <row r="1030" spans="1:39" ht="12.75" customHeight="1">
      <c r="A1030" s="24"/>
      <c r="C1030" s="42"/>
      <c r="D1030" s="73"/>
      <c r="E1030" s="45"/>
      <c r="F1030" s="44"/>
      <c r="G1030" s="45"/>
      <c r="I1030" s="45"/>
      <c r="K1030" s="45"/>
      <c r="M1030" s="45"/>
      <c r="O1030" s="45"/>
      <c r="Q1030" s="45"/>
      <c r="W1030" s="45"/>
      <c r="Y1030" s="45"/>
      <c r="AA1030" s="45"/>
      <c r="AE1030" s="45"/>
      <c r="AG1030" s="45"/>
      <c r="AI1030" s="45"/>
      <c r="AK1030" s="45"/>
      <c r="AM1030" s="45"/>
    </row>
    <row r="1031" spans="1:39" ht="12.75" customHeight="1">
      <c r="A1031" s="24"/>
      <c r="C1031" s="42"/>
      <c r="D1031" s="73"/>
      <c r="E1031" s="45"/>
      <c r="F1031" s="44"/>
      <c r="G1031" s="45"/>
      <c r="I1031" s="45"/>
      <c r="K1031" s="45"/>
      <c r="M1031" s="45"/>
      <c r="O1031" s="45"/>
      <c r="Q1031" s="45"/>
      <c r="W1031" s="45"/>
      <c r="Y1031" s="45"/>
      <c r="AA1031" s="45"/>
      <c r="AE1031" s="45"/>
      <c r="AG1031" s="45"/>
      <c r="AI1031" s="45"/>
      <c r="AK1031" s="45"/>
      <c r="AM1031" s="45"/>
    </row>
    <row r="1032" spans="1:39" ht="12.75" customHeight="1">
      <c r="A1032" s="24"/>
      <c r="C1032" s="42"/>
      <c r="D1032" s="73"/>
      <c r="E1032" s="45"/>
      <c r="F1032" s="44"/>
      <c r="G1032" s="45"/>
      <c r="I1032" s="45"/>
      <c r="K1032" s="45"/>
      <c r="M1032" s="45"/>
      <c r="O1032" s="45"/>
      <c r="Q1032" s="45"/>
      <c r="W1032" s="45"/>
      <c r="Y1032" s="45"/>
      <c r="AA1032" s="45"/>
      <c r="AE1032" s="45"/>
      <c r="AG1032" s="45"/>
      <c r="AI1032" s="45"/>
      <c r="AK1032" s="45"/>
      <c r="AM1032" s="45"/>
    </row>
    <row r="1033" spans="1:39" ht="12.75" customHeight="1">
      <c r="A1033" s="24"/>
      <c r="C1033" s="42"/>
      <c r="D1033" s="73"/>
      <c r="E1033" s="45"/>
      <c r="F1033" s="44"/>
      <c r="G1033" s="45"/>
      <c r="I1033" s="45"/>
      <c r="K1033" s="45"/>
      <c r="M1033" s="45"/>
      <c r="O1033" s="45"/>
      <c r="Q1033" s="45"/>
      <c r="W1033" s="45"/>
      <c r="Y1033" s="45"/>
      <c r="AA1033" s="45"/>
      <c r="AE1033" s="45"/>
      <c r="AG1033" s="45"/>
      <c r="AI1033" s="45"/>
      <c r="AK1033" s="45"/>
      <c r="AM1033" s="45"/>
    </row>
    <row r="1034" spans="1:39" ht="12.75" customHeight="1">
      <c r="A1034" s="24"/>
      <c r="C1034" s="42"/>
      <c r="D1034" s="73"/>
      <c r="E1034" s="45"/>
      <c r="F1034" s="44"/>
      <c r="G1034" s="45"/>
      <c r="I1034" s="45"/>
      <c r="K1034" s="45"/>
      <c r="M1034" s="45"/>
      <c r="O1034" s="45"/>
      <c r="Q1034" s="45"/>
      <c r="W1034" s="45"/>
      <c r="Y1034" s="45"/>
      <c r="AA1034" s="45"/>
      <c r="AE1034" s="45"/>
      <c r="AG1034" s="45"/>
      <c r="AI1034" s="45"/>
      <c r="AK1034" s="45"/>
      <c r="AM1034" s="45"/>
    </row>
    <row r="1035" spans="1:39" ht="12.75" customHeight="1">
      <c r="A1035" s="24"/>
      <c r="C1035" s="42"/>
      <c r="D1035" s="73"/>
      <c r="E1035" s="45"/>
      <c r="F1035" s="44"/>
      <c r="G1035" s="45"/>
      <c r="I1035" s="45"/>
      <c r="K1035" s="45"/>
      <c r="M1035" s="45"/>
      <c r="O1035" s="45"/>
      <c r="Q1035" s="45"/>
      <c r="W1035" s="45"/>
      <c r="Y1035" s="45"/>
      <c r="AA1035" s="45"/>
      <c r="AE1035" s="45"/>
      <c r="AG1035" s="45"/>
      <c r="AI1035" s="45"/>
      <c r="AK1035" s="45"/>
      <c r="AM1035" s="45"/>
    </row>
    <row r="1036" spans="1:39" ht="12.75" customHeight="1">
      <c r="A1036" s="24"/>
      <c r="C1036" s="42"/>
      <c r="D1036" s="73"/>
      <c r="E1036" s="45"/>
      <c r="F1036" s="44"/>
      <c r="G1036" s="45"/>
      <c r="I1036" s="45"/>
      <c r="K1036" s="45"/>
      <c r="M1036" s="45"/>
      <c r="O1036" s="45"/>
      <c r="Q1036" s="45"/>
      <c r="W1036" s="45"/>
      <c r="Y1036" s="45"/>
      <c r="AA1036" s="45"/>
      <c r="AE1036" s="45"/>
      <c r="AG1036" s="45"/>
      <c r="AI1036" s="45"/>
      <c r="AK1036" s="45"/>
      <c r="AM1036" s="45"/>
    </row>
    <row r="1037" spans="1:39" ht="12.75" customHeight="1">
      <c r="A1037" s="24"/>
      <c r="C1037" s="42"/>
      <c r="D1037" s="73"/>
      <c r="E1037" s="45"/>
      <c r="F1037" s="44"/>
      <c r="G1037" s="45"/>
      <c r="I1037" s="45"/>
      <c r="K1037" s="45"/>
      <c r="M1037" s="45"/>
      <c r="O1037" s="45"/>
      <c r="Q1037" s="45"/>
      <c r="W1037" s="45"/>
      <c r="Y1037" s="45"/>
      <c r="AA1037" s="45"/>
      <c r="AE1037" s="45"/>
      <c r="AG1037" s="45"/>
      <c r="AI1037" s="45"/>
      <c r="AK1037" s="45"/>
      <c r="AM1037" s="45"/>
    </row>
    <row r="1038" spans="1:39" ht="12.75" customHeight="1">
      <c r="A1038" s="24"/>
      <c r="C1038" s="42"/>
      <c r="D1038" s="73"/>
      <c r="E1038" s="45"/>
      <c r="F1038" s="44"/>
      <c r="G1038" s="45"/>
      <c r="I1038" s="45"/>
      <c r="K1038" s="45"/>
      <c r="M1038" s="45"/>
      <c r="O1038" s="45"/>
      <c r="Q1038" s="45"/>
      <c r="W1038" s="45"/>
      <c r="Y1038" s="45"/>
      <c r="AA1038" s="45"/>
      <c r="AE1038" s="45"/>
      <c r="AG1038" s="45"/>
      <c r="AI1038" s="45"/>
      <c r="AK1038" s="45"/>
      <c r="AM1038" s="45"/>
    </row>
    <row r="1039" spans="1:39" ht="12.75" customHeight="1">
      <c r="A1039" s="24"/>
      <c r="C1039" s="42"/>
      <c r="D1039" s="73"/>
      <c r="E1039" s="45"/>
      <c r="F1039" s="44"/>
      <c r="G1039" s="45"/>
      <c r="I1039" s="45"/>
      <c r="K1039" s="45"/>
      <c r="M1039" s="45"/>
      <c r="O1039" s="45"/>
      <c r="Q1039" s="45"/>
      <c r="W1039" s="45"/>
      <c r="Y1039" s="45"/>
      <c r="AA1039" s="45"/>
      <c r="AE1039" s="45"/>
      <c r="AG1039" s="45"/>
      <c r="AI1039" s="45"/>
      <c r="AK1039" s="45"/>
      <c r="AM1039" s="45"/>
    </row>
    <row r="1040" spans="1:39" ht="12.75" customHeight="1">
      <c r="A1040" s="24"/>
      <c r="C1040" s="42"/>
      <c r="D1040" s="73"/>
      <c r="E1040" s="45"/>
      <c r="F1040" s="44"/>
      <c r="G1040" s="45"/>
      <c r="I1040" s="45"/>
      <c r="K1040" s="45"/>
      <c r="M1040" s="45"/>
      <c r="O1040" s="45"/>
      <c r="Q1040" s="45"/>
      <c r="W1040" s="45"/>
      <c r="Y1040" s="45"/>
      <c r="AA1040" s="45"/>
      <c r="AE1040" s="45"/>
      <c r="AG1040" s="45"/>
      <c r="AI1040" s="45"/>
      <c r="AK1040" s="45"/>
      <c r="AM1040" s="45"/>
    </row>
    <row r="1041" spans="1:39" ht="12.75" customHeight="1">
      <c r="A1041" s="24"/>
      <c r="C1041" s="42"/>
      <c r="D1041" s="73"/>
      <c r="E1041" s="45"/>
      <c r="F1041" s="44"/>
      <c r="G1041" s="45"/>
      <c r="I1041" s="45"/>
      <c r="K1041" s="45"/>
      <c r="M1041" s="45"/>
      <c r="O1041" s="45"/>
      <c r="Q1041" s="45"/>
      <c r="W1041" s="45"/>
      <c r="Y1041" s="45"/>
      <c r="AA1041" s="45"/>
      <c r="AE1041" s="45"/>
      <c r="AG1041" s="45"/>
      <c r="AI1041" s="45"/>
      <c r="AK1041" s="45"/>
      <c r="AM1041" s="45"/>
    </row>
    <row r="1042" spans="1:39" ht="12.75" customHeight="1">
      <c r="A1042" s="24"/>
      <c r="C1042" s="42"/>
      <c r="D1042" s="73"/>
      <c r="E1042" s="45"/>
      <c r="F1042" s="44"/>
      <c r="G1042" s="45"/>
      <c r="I1042" s="45"/>
      <c r="K1042" s="45"/>
      <c r="M1042" s="45"/>
      <c r="O1042" s="45"/>
      <c r="Q1042" s="45"/>
      <c r="W1042" s="45"/>
      <c r="Y1042" s="45"/>
      <c r="AA1042" s="45"/>
      <c r="AE1042" s="45"/>
      <c r="AG1042" s="45"/>
      <c r="AI1042" s="45"/>
      <c r="AK1042" s="45"/>
      <c r="AM1042" s="45"/>
    </row>
  </sheetData>
  <mergeCells count="194">
    <mergeCell ref="AC126:AD126"/>
    <mergeCell ref="AG128:AH128"/>
    <mergeCell ref="AI128:AJ128"/>
    <mergeCell ref="AK128:AL128"/>
    <mergeCell ref="AC128:AD128"/>
    <mergeCell ref="AE128:AF128"/>
    <mergeCell ref="AM128:AN128"/>
    <mergeCell ref="AO128:AP128"/>
    <mergeCell ref="AQ128:AR128"/>
    <mergeCell ref="AE126:AF126"/>
    <mergeCell ref="AG126:AH126"/>
    <mergeCell ref="AI126:AJ126"/>
    <mergeCell ref="AK126:AL126"/>
    <mergeCell ref="AM126:AN126"/>
    <mergeCell ref="AO126:AP126"/>
    <mergeCell ref="AQ126:AR126"/>
    <mergeCell ref="AG123:AH123"/>
    <mergeCell ref="AI123:AJ123"/>
    <mergeCell ref="AK123:AL123"/>
    <mergeCell ref="AM123:AN123"/>
    <mergeCell ref="AO123:AP123"/>
    <mergeCell ref="AQ123:AR123"/>
    <mergeCell ref="S123:T123"/>
    <mergeCell ref="U123:V123"/>
    <mergeCell ref="W123:X123"/>
    <mergeCell ref="Y123:Z123"/>
    <mergeCell ref="AA123:AB123"/>
    <mergeCell ref="AC123:AD123"/>
    <mergeCell ref="AE123:AF123"/>
    <mergeCell ref="AC130:AD130"/>
    <mergeCell ref="AE130:AF130"/>
    <mergeCell ref="AG130:AH130"/>
    <mergeCell ref="AI130:AJ130"/>
    <mergeCell ref="AK130:AL130"/>
    <mergeCell ref="AM130:AN130"/>
    <mergeCell ref="AO130:AP130"/>
    <mergeCell ref="AQ130:AR130"/>
    <mergeCell ref="O130:P130"/>
    <mergeCell ref="Q130:R130"/>
    <mergeCell ref="S130:T130"/>
    <mergeCell ref="U130:V130"/>
    <mergeCell ref="W130:X130"/>
    <mergeCell ref="Y130:Z130"/>
    <mergeCell ref="AA130:AB130"/>
    <mergeCell ref="A127:B127"/>
    <mergeCell ref="A128:B128"/>
    <mergeCell ref="E128:F128"/>
    <mergeCell ref="G128:H128"/>
    <mergeCell ref="I128:J128"/>
    <mergeCell ref="K128:L128"/>
    <mergeCell ref="M128:N128"/>
    <mergeCell ref="A129:C129"/>
    <mergeCell ref="A130:C130"/>
    <mergeCell ref="E130:F130"/>
    <mergeCell ref="G130:H130"/>
    <mergeCell ref="I130:J130"/>
    <mergeCell ref="K130:L130"/>
    <mergeCell ref="M130:N130"/>
    <mergeCell ref="O128:P128"/>
    <mergeCell ref="Q128:R128"/>
    <mergeCell ref="S128:T128"/>
    <mergeCell ref="U128:V128"/>
    <mergeCell ref="W128:X128"/>
    <mergeCell ref="Y128:Z128"/>
    <mergeCell ref="AA128:AB128"/>
    <mergeCell ref="G123:H123"/>
    <mergeCell ref="I123:J123"/>
    <mergeCell ref="K123:L123"/>
    <mergeCell ref="M123:N123"/>
    <mergeCell ref="O123:P123"/>
    <mergeCell ref="Q123:R123"/>
    <mergeCell ref="S126:T126"/>
    <mergeCell ref="U126:V126"/>
    <mergeCell ref="W126:X126"/>
    <mergeCell ref="Y126:Z126"/>
    <mergeCell ref="AA126:AB126"/>
    <mergeCell ref="A125:B125"/>
    <mergeCell ref="E123:F123"/>
    <mergeCell ref="E126:F126"/>
    <mergeCell ref="G126:H126"/>
    <mergeCell ref="I126:J126"/>
    <mergeCell ref="K126:L126"/>
    <mergeCell ref="M126:N126"/>
    <mergeCell ref="O126:P126"/>
    <mergeCell ref="Q126:R126"/>
    <mergeCell ref="AM118:AN118"/>
    <mergeCell ref="AO118:AP118"/>
    <mergeCell ref="AQ118:AR118"/>
    <mergeCell ref="A118:B118"/>
    <mergeCell ref="E118:F118"/>
    <mergeCell ref="G118:H118"/>
    <mergeCell ref="I118:J118"/>
    <mergeCell ref="K118:L118"/>
    <mergeCell ref="M118:N118"/>
    <mergeCell ref="O118:P118"/>
    <mergeCell ref="AE118:AF118"/>
    <mergeCell ref="AG118:AH118"/>
    <mergeCell ref="Q118:R118"/>
    <mergeCell ref="S118:T118"/>
    <mergeCell ref="U118:V118"/>
    <mergeCell ref="W118:X118"/>
    <mergeCell ref="Y118:Z118"/>
    <mergeCell ref="AA118:AB118"/>
    <mergeCell ref="AC118:AD118"/>
    <mergeCell ref="A109:B109"/>
    <mergeCell ref="E109:F109"/>
    <mergeCell ref="G109:H109"/>
    <mergeCell ref="I109:J109"/>
    <mergeCell ref="K109:L109"/>
    <mergeCell ref="M109:N109"/>
    <mergeCell ref="O109:P109"/>
    <mergeCell ref="AI118:AJ118"/>
    <mergeCell ref="AK118:AL118"/>
    <mergeCell ref="AE109:AF109"/>
    <mergeCell ref="AG109:AH109"/>
    <mergeCell ref="AI109:AJ109"/>
    <mergeCell ref="AK109:AL109"/>
    <mergeCell ref="AM109:AN109"/>
    <mergeCell ref="AO109:AP109"/>
    <mergeCell ref="AQ109:AR109"/>
    <mergeCell ref="Q109:R109"/>
    <mergeCell ref="S109:T109"/>
    <mergeCell ref="U109:V109"/>
    <mergeCell ref="W109:X109"/>
    <mergeCell ref="Y109:Z109"/>
    <mergeCell ref="AA109:AB109"/>
    <mergeCell ref="AC109:AD109"/>
    <mergeCell ref="AG92:AH92"/>
    <mergeCell ref="AI92:AJ92"/>
    <mergeCell ref="AK92:AL92"/>
    <mergeCell ref="AM92:AN92"/>
    <mergeCell ref="AO92:AP92"/>
    <mergeCell ref="AQ92:AR92"/>
    <mergeCell ref="O92:P92"/>
    <mergeCell ref="Q92:R92"/>
    <mergeCell ref="S92:T92"/>
    <mergeCell ref="U92:V92"/>
    <mergeCell ref="W92:X92"/>
    <mergeCell ref="Y92:Z92"/>
    <mergeCell ref="AA92:AB92"/>
    <mergeCell ref="A2:B2"/>
    <mergeCell ref="A89:B89"/>
    <mergeCell ref="A90:B90"/>
    <mergeCell ref="E90:F90"/>
    <mergeCell ref="G90:H90"/>
    <mergeCell ref="I90:J90"/>
    <mergeCell ref="K90:L90"/>
    <mergeCell ref="AC92:AD92"/>
    <mergeCell ref="AE92:AF92"/>
    <mergeCell ref="A91:B91"/>
    <mergeCell ref="A92:B92"/>
    <mergeCell ref="E92:F92"/>
    <mergeCell ref="G92:H92"/>
    <mergeCell ref="I92:J92"/>
    <mergeCell ref="K92:L92"/>
    <mergeCell ref="M92:N92"/>
    <mergeCell ref="Q90:R90"/>
    <mergeCell ref="S90:T90"/>
    <mergeCell ref="U90:V90"/>
    <mergeCell ref="W90:X90"/>
    <mergeCell ref="Y90:Z90"/>
    <mergeCell ref="A3:C3"/>
    <mergeCell ref="E3:F3"/>
    <mergeCell ref="G3:H3"/>
    <mergeCell ref="AO90:AP90"/>
    <mergeCell ref="AQ90:AR90"/>
    <mergeCell ref="AA90:AB90"/>
    <mergeCell ref="AC90:AD90"/>
    <mergeCell ref="AE90:AF90"/>
    <mergeCell ref="AG90:AH90"/>
    <mergeCell ref="AI90:AJ90"/>
    <mergeCell ref="AK90:AL90"/>
    <mergeCell ref="AM90:AN90"/>
    <mergeCell ref="I3:J3"/>
    <mergeCell ref="K3:L3"/>
    <mergeCell ref="M3:N3"/>
    <mergeCell ref="A4:C4"/>
    <mergeCell ref="M90:N90"/>
    <mergeCell ref="O90:P90"/>
    <mergeCell ref="AC3:AD3"/>
    <mergeCell ref="AE3:AF3"/>
    <mergeCell ref="AG3:AH3"/>
    <mergeCell ref="AI3:AJ3"/>
    <mergeCell ref="AK3:AL3"/>
    <mergeCell ref="AM3:AN3"/>
    <mergeCell ref="AO3:AP3"/>
    <mergeCell ref="AQ3:AR3"/>
    <mergeCell ref="O3:P3"/>
    <mergeCell ref="Q3:R3"/>
    <mergeCell ref="S3:T3"/>
    <mergeCell ref="U3:V3"/>
    <mergeCell ref="W3:X3"/>
    <mergeCell ref="Y3:Z3"/>
    <mergeCell ref="AA3:AB3"/>
  </mergeCells>
  <conditionalFormatting sqref="E6:AR88">
    <cfRule type="colorScale" priority="1">
      <colorScale>
        <cfvo type="formula" val="0"/>
        <cfvo type="formula" val="1"/>
        <cfvo type="formula" val="3"/>
        <color rgb="FFFFF1F1"/>
        <color rgb="FFD9EAD3"/>
        <color rgb="FF92D050"/>
      </colorScale>
    </cfRule>
  </conditionalFormatting>
  <conditionalFormatting sqref="E3:AR3">
    <cfRule type="colorScale" priority="2">
      <colorScale>
        <cfvo type="min"/>
        <cfvo type="max"/>
        <color rgb="FFFFF1F1"/>
        <color rgb="FF92D050"/>
      </colorScale>
    </cfRule>
  </conditionalFormatting>
  <conditionalFormatting sqref="A6:A88">
    <cfRule type="timePeriod" dxfId="0" priority="3" timePeriod="today"/>
  </conditionalFormatting>
  <pageMargins left="0.74791666666666667" right="0.74791666666666667" top="0.98402777777777783" bottom="0.98402777777777783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000"/>
  <sheetViews>
    <sheetView workbookViewId="0">
      <selection activeCell="H4" sqref="H4"/>
    </sheetView>
  </sheetViews>
  <sheetFormatPr defaultColWidth="14.42578125" defaultRowHeight="15" customHeight="1"/>
  <cols>
    <col min="1" max="1" width="4.7109375" customWidth="1"/>
    <col min="2" max="2" width="10" customWidth="1"/>
    <col min="3" max="26" width="8.7109375" customWidth="1"/>
  </cols>
  <sheetData>
    <row r="1" spans="1:26" ht="12.75" customHeight="1">
      <c r="B1" s="46"/>
      <c r="C1" s="46"/>
      <c r="D1" s="46"/>
    </row>
    <row r="2" spans="1:26" ht="12.75" customHeight="1">
      <c r="C2" s="46"/>
      <c r="D2" s="46"/>
      <c r="W2" s="2" t="s">
        <v>209</v>
      </c>
      <c r="X2" s="2" t="s">
        <v>210</v>
      </c>
    </row>
    <row r="3" spans="1:26" ht="12.75" customHeight="1">
      <c r="A3" s="47"/>
      <c r="B3" s="48"/>
      <c r="C3" s="49" t="str">
        <f>Tulokset!E2</f>
        <v>Hannu</v>
      </c>
      <c r="D3" s="49" t="str">
        <f>Tulokset!G2</f>
        <v>ile</v>
      </c>
      <c r="E3" s="49" t="str">
        <f>Tulokset!I2</f>
        <v>JermuP</v>
      </c>
      <c r="F3" s="49" t="str">
        <f>Tulokset!K2</f>
        <v>Jukka</v>
      </c>
      <c r="G3" s="49" t="str">
        <f>Tulokset!M2</f>
        <v>Jussi</v>
      </c>
      <c r="H3" s="49" t="str">
        <f>Tulokset!O2</f>
        <v>Jype</v>
      </c>
      <c r="I3" s="49" t="str">
        <f>Tulokset!Q2</f>
        <v>Kapa</v>
      </c>
      <c r="J3" s="49" t="str">
        <f>Tulokset!S2</f>
        <v>Karri</v>
      </c>
      <c r="K3" s="49" t="str">
        <f>Tulokset!U2</f>
        <v>KimmoK</v>
      </c>
      <c r="L3" s="49" t="str">
        <f>Tulokset!W2</f>
        <v>KimmoL</v>
      </c>
      <c r="M3" s="49" t="str">
        <f>Tulokset!Y2</f>
        <v>Luka</v>
      </c>
      <c r="N3" s="49" t="str">
        <f>Tulokset!AA2</f>
        <v>Martti</v>
      </c>
      <c r="O3" s="49" t="str">
        <f>Tulokset!AC2</f>
        <v>Neste</v>
      </c>
      <c r="P3" s="49" t="str">
        <f>Tulokset!AE2</f>
        <v>Pele</v>
      </c>
      <c r="Q3" s="49" t="str">
        <f>Tulokset!AG2</f>
        <v>Pexi</v>
      </c>
      <c r="R3" s="49" t="str">
        <f>Tulokset!AI2</f>
        <v>Saku</v>
      </c>
      <c r="S3" s="49" t="str">
        <f>Tulokset!AK2</f>
        <v xml:space="preserve">Sampo </v>
      </c>
      <c r="T3" s="50" t="str">
        <f>Tulokset!AM2</f>
        <v>Tarhonen</v>
      </c>
      <c r="U3" s="49" t="str">
        <f>Tulokset!AO2</f>
        <v>ChatGPT</v>
      </c>
      <c r="V3" s="49" t="str">
        <f>Tulokset!AQ2</f>
        <v>TommiT</v>
      </c>
      <c r="W3" s="51">
        <f>AVERAGE(C4:V4)</f>
        <v>0</v>
      </c>
      <c r="X3" s="52">
        <f>STDEV(C4:V4)</f>
        <v>0</v>
      </c>
      <c r="Y3" s="47"/>
      <c r="Z3" s="47"/>
    </row>
    <row r="4" spans="1:26" ht="12.75" customHeight="1">
      <c r="B4" s="53"/>
      <c r="C4" s="54">
        <f>Tulokset!E3</f>
        <v>0</v>
      </c>
      <c r="D4" s="55">
        <f>Tulokset!G3</f>
        <v>0</v>
      </c>
      <c r="E4" s="55">
        <f>Tulokset!I3</f>
        <v>0</v>
      </c>
      <c r="F4" s="55">
        <f>Tulokset!K3</f>
        <v>0</v>
      </c>
      <c r="G4" s="55">
        <f>Tulokset!M3</f>
        <v>0</v>
      </c>
      <c r="H4" s="55">
        <f>Tulokset!O3</f>
        <v>0</v>
      </c>
      <c r="I4" s="55">
        <f>Tulokset!Q3</f>
        <v>0</v>
      </c>
      <c r="J4" s="55">
        <f>Tulokset!S3</f>
        <v>0</v>
      </c>
      <c r="K4" s="55">
        <f>Tulokset!U3</f>
        <v>0</v>
      </c>
      <c r="L4" s="55">
        <f>Tulokset!W3</f>
        <v>0</v>
      </c>
      <c r="M4" s="55">
        <f>Tulokset!Y3</f>
        <v>0</v>
      </c>
      <c r="N4" s="55">
        <f>Tulokset!AA3</f>
        <v>0</v>
      </c>
      <c r="O4" s="55">
        <f>Tulokset!AC3</f>
        <v>0</v>
      </c>
      <c r="P4" s="55">
        <f>Tulokset!AE3</f>
        <v>0</v>
      </c>
      <c r="Q4" s="55">
        <f>Tulokset!AG3</f>
        <v>0</v>
      </c>
      <c r="R4" s="55">
        <f>Tulokset!AI3</f>
        <v>0</v>
      </c>
      <c r="S4" s="55">
        <f>Tulokset!AK3</f>
        <v>0</v>
      </c>
      <c r="T4" s="55">
        <f>Tulokset!AM3</f>
        <v>0</v>
      </c>
      <c r="U4" s="55">
        <f>Tulokset!AO3</f>
        <v>0</v>
      </c>
      <c r="V4" s="55">
        <f>Tulokset!AQ3</f>
        <v>0</v>
      </c>
    </row>
    <row r="5" spans="1:26" ht="12.75" customHeight="1">
      <c r="B5" s="8"/>
      <c r="C5" s="56" t="e">
        <f t="array" aca="1" ref="C5:V6" ca="1">TRANSPOSE(_xludf.SORT(TRANSPOSE(C3:V4),2,))</f>
        <v>#NAME?</v>
      </c>
      <c r="D5" s="56" t="e">
        <f ca="1"/>
        <v>#NAME?</v>
      </c>
      <c r="E5" s="56" t="e">
        <f ca="1"/>
        <v>#NAME?</v>
      </c>
      <c r="F5" s="56" t="e">
        <f ca="1"/>
        <v>#NAME?</v>
      </c>
      <c r="G5" s="56" t="e">
        <f ca="1"/>
        <v>#NAME?</v>
      </c>
      <c r="H5" s="56" t="e">
        <f ca="1"/>
        <v>#NAME?</v>
      </c>
      <c r="I5" s="56" t="e">
        <f ca="1"/>
        <v>#NAME?</v>
      </c>
      <c r="J5" s="56" t="e">
        <f ca="1"/>
        <v>#NAME?</v>
      </c>
      <c r="K5" s="56" t="e">
        <f ca="1"/>
        <v>#NAME?</v>
      </c>
      <c r="L5" s="56" t="e">
        <f ca="1"/>
        <v>#NAME?</v>
      </c>
      <c r="M5" s="56" t="e">
        <f ca="1"/>
        <v>#NAME?</v>
      </c>
      <c r="N5" s="56" t="e">
        <f ca="1"/>
        <v>#NAME?</v>
      </c>
      <c r="O5" s="56" t="e">
        <f ca="1"/>
        <v>#NAME?</v>
      </c>
      <c r="P5" s="56" t="e">
        <f ca="1"/>
        <v>#NAME?</v>
      </c>
      <c r="Q5" s="56" t="e">
        <f ca="1"/>
        <v>#NAME?</v>
      </c>
      <c r="R5" s="56" t="e">
        <f ca="1"/>
        <v>#NAME?</v>
      </c>
      <c r="S5" s="56" t="e">
        <f ca="1"/>
        <v>#NAME?</v>
      </c>
      <c r="T5" s="56" t="e">
        <f ca="1"/>
        <v>#NAME?</v>
      </c>
      <c r="U5" s="56" t="e">
        <f ca="1"/>
        <v>#NAME?</v>
      </c>
      <c r="V5" s="56" t="e">
        <f ca="1"/>
        <v>#NAME?</v>
      </c>
    </row>
    <row r="6" spans="1:26">
      <c r="B6" s="8"/>
      <c r="C6" s="57" t="e">
        <f ca="1"/>
        <v>#NAME?</v>
      </c>
      <c r="D6" s="57" t="e">
        <f ca="1"/>
        <v>#NAME?</v>
      </c>
      <c r="E6" s="57" t="e">
        <f ca="1"/>
        <v>#NAME?</v>
      </c>
      <c r="F6" s="57" t="e">
        <f ca="1"/>
        <v>#NAME?</v>
      </c>
      <c r="G6" s="57" t="e">
        <f ca="1"/>
        <v>#NAME?</v>
      </c>
      <c r="H6" s="57" t="e">
        <f ca="1"/>
        <v>#NAME?</v>
      </c>
      <c r="I6" s="57" t="e">
        <f ca="1"/>
        <v>#NAME?</v>
      </c>
      <c r="J6" s="57" t="e">
        <f ca="1"/>
        <v>#NAME?</v>
      </c>
      <c r="K6" s="57" t="e">
        <f ca="1"/>
        <v>#NAME?</v>
      </c>
      <c r="L6" s="57" t="e">
        <f ca="1"/>
        <v>#NAME?</v>
      </c>
      <c r="M6" s="57" t="e">
        <f ca="1"/>
        <v>#NAME?</v>
      </c>
      <c r="N6" s="57" t="e">
        <f ca="1"/>
        <v>#NAME?</v>
      </c>
      <c r="O6" s="57" t="e">
        <f ca="1"/>
        <v>#NAME?</v>
      </c>
      <c r="P6" s="57" t="e">
        <f ca="1"/>
        <v>#NAME?</v>
      </c>
      <c r="Q6" s="57" t="e">
        <f ca="1"/>
        <v>#NAME?</v>
      </c>
      <c r="R6" s="57" t="e">
        <f ca="1"/>
        <v>#NAME?</v>
      </c>
      <c r="S6" s="57" t="e">
        <f ca="1"/>
        <v>#NAME?</v>
      </c>
      <c r="T6" s="57" t="e">
        <f ca="1"/>
        <v>#NAME?</v>
      </c>
      <c r="U6" s="57" t="e">
        <f ca="1"/>
        <v>#NAME?</v>
      </c>
      <c r="V6" s="57" t="e">
        <f ca="1"/>
        <v>#NAME?</v>
      </c>
    </row>
    <row r="8" spans="1:26" ht="12.75" customHeight="1">
      <c r="B8" s="58"/>
    </row>
    <row r="9" spans="1:26" ht="12.75" customHeight="1">
      <c r="B9" s="8"/>
    </row>
    <row r="10" spans="1:26" ht="12.75" customHeight="1">
      <c r="B10" s="8"/>
    </row>
    <row r="12" spans="1:26" ht="12.75" customHeight="1">
      <c r="B12" s="58"/>
      <c r="C12" s="2"/>
    </row>
    <row r="13" spans="1:26" ht="12.75" customHeight="1">
      <c r="B13" s="8"/>
      <c r="C13" s="1"/>
    </row>
    <row r="14" spans="1:26" ht="12.75" customHeight="1">
      <c r="B14" s="8"/>
    </row>
    <row r="15" spans="1:26" ht="12.75" customHeight="1">
      <c r="B15" s="8"/>
      <c r="D15" s="1"/>
    </row>
    <row r="16" spans="1:26" ht="12.75" customHeight="1">
      <c r="B16" s="8"/>
    </row>
    <row r="17" spans="2:2" ht="12.75" customHeight="1">
      <c r="B17" s="2"/>
    </row>
    <row r="18" spans="2:2" ht="12.75" customHeight="1">
      <c r="B18" s="59"/>
    </row>
    <row r="19" spans="2:2" ht="12.75" customHeight="1">
      <c r="B19" s="59"/>
    </row>
    <row r="20" spans="2:2" ht="12.75" customHeight="1">
      <c r="B20" s="59"/>
    </row>
    <row r="21" spans="2:2" ht="12.75" customHeight="1">
      <c r="B21" s="59"/>
    </row>
    <row r="22" spans="2:2" ht="12.75" customHeight="1"/>
    <row r="23" spans="2:2" ht="12.75" customHeight="1">
      <c r="B23" s="60"/>
    </row>
    <row r="24" spans="2:2" ht="12.75" customHeight="1">
      <c r="B24" s="8"/>
    </row>
    <row r="25" spans="2:2" ht="12.75" customHeight="1">
      <c r="B25" s="8"/>
    </row>
    <row r="26" spans="2:2" ht="12.75" customHeight="1">
      <c r="B26" s="8"/>
    </row>
    <row r="27" spans="2:2" ht="12.75" customHeight="1">
      <c r="B27" s="8"/>
    </row>
    <row r="28" spans="2:2" ht="12.75" customHeight="1">
      <c r="B28" s="8"/>
    </row>
    <row r="29" spans="2:2" ht="12.75" customHeight="1">
      <c r="B29" s="8"/>
    </row>
    <row r="30" spans="2:2" ht="12.75" customHeight="1">
      <c r="B30" s="8"/>
    </row>
    <row r="31" spans="2:2" ht="12.75" customHeight="1">
      <c r="B31" s="8"/>
    </row>
    <row r="32" spans="2:2" ht="12.75" customHeight="1"/>
    <row r="33" spans="2:2" ht="12.75" customHeight="1">
      <c r="B33" s="2"/>
    </row>
    <row r="34" spans="2:2" ht="12.75" customHeight="1"/>
    <row r="35" spans="2:2" ht="12.75" customHeight="1"/>
    <row r="36" spans="2:2" ht="12.75" customHeight="1"/>
    <row r="37" spans="2:2" ht="12.75" customHeight="1"/>
    <row r="38" spans="2:2" ht="12.75" customHeight="1"/>
    <row r="39" spans="2:2" ht="12.75" customHeight="1"/>
    <row r="40" spans="2:2" ht="12.75" customHeight="1"/>
    <row r="41" spans="2:2" ht="12.75" customHeight="1"/>
    <row r="42" spans="2:2" ht="12.75" customHeight="1"/>
    <row r="43" spans="2:2" ht="12.75" customHeight="1"/>
    <row r="44" spans="2:2" ht="12.75" customHeight="1"/>
    <row r="45" spans="2:2" ht="12.75" customHeight="1"/>
    <row r="46" spans="2:2" ht="12.75" customHeight="1"/>
    <row r="47" spans="2:2" ht="12.75" customHeight="1"/>
    <row r="48" spans="2:2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1"/>
  <sheetViews>
    <sheetView workbookViewId="0">
      <selection activeCell="D17" sqref="D17"/>
    </sheetView>
  </sheetViews>
  <sheetFormatPr defaultColWidth="14.42578125" defaultRowHeight="15" customHeight="1"/>
  <cols>
    <col min="1" max="1" width="12.42578125" customWidth="1"/>
    <col min="2" max="4" width="19" customWidth="1"/>
    <col min="5" max="6" width="17.42578125" customWidth="1"/>
    <col min="7" max="7" width="14.140625" customWidth="1"/>
    <col min="8" max="8" width="17.7109375" customWidth="1"/>
    <col min="9" max="9" width="15.140625" customWidth="1"/>
    <col min="10" max="10" width="13.28515625" customWidth="1"/>
    <col min="11" max="11" width="8.7109375" customWidth="1"/>
    <col min="12" max="12" width="16.7109375" customWidth="1"/>
    <col min="13" max="26" width="8.7109375" customWidth="1"/>
  </cols>
  <sheetData>
    <row r="1" spans="1:12" ht="12.75" customHeight="1"/>
    <row r="2" spans="1:12" ht="12.75" customHeight="1">
      <c r="B2" s="61" t="s">
        <v>211</v>
      </c>
      <c r="C2" s="61" t="s">
        <v>212</v>
      </c>
      <c r="D2" s="61" t="s">
        <v>213</v>
      </c>
      <c r="E2" s="61" t="s">
        <v>214</v>
      </c>
      <c r="F2" s="61" t="s">
        <v>215</v>
      </c>
      <c r="G2" s="61" t="s">
        <v>216</v>
      </c>
      <c r="H2" s="61" t="s">
        <v>217</v>
      </c>
      <c r="I2" s="61" t="s">
        <v>218</v>
      </c>
      <c r="J2" s="61" t="s">
        <v>219</v>
      </c>
      <c r="K2" s="61" t="s">
        <v>220</v>
      </c>
      <c r="L2" s="61" t="s">
        <v>221</v>
      </c>
    </row>
    <row r="3" spans="1:12" ht="12.75" customHeight="1">
      <c r="A3" s="33" t="s">
        <v>222</v>
      </c>
      <c r="B3" s="62">
        <v>10</v>
      </c>
      <c r="C3" s="62">
        <v>24</v>
      </c>
      <c r="D3" s="62">
        <v>24</v>
      </c>
      <c r="E3" s="61" t="s">
        <v>223</v>
      </c>
      <c r="F3" s="62">
        <v>17</v>
      </c>
      <c r="G3" s="62">
        <v>16</v>
      </c>
      <c r="H3" s="62">
        <v>14</v>
      </c>
      <c r="I3" s="62">
        <v>20</v>
      </c>
      <c r="J3" s="62">
        <v>22</v>
      </c>
      <c r="K3" s="33" t="s">
        <v>223</v>
      </c>
      <c r="L3">
        <v>20</v>
      </c>
    </row>
    <row r="4" spans="1:12" ht="12.75" customHeight="1">
      <c r="A4" s="33" t="s">
        <v>224</v>
      </c>
      <c r="H4" s="33">
        <v>75</v>
      </c>
      <c r="I4" s="33">
        <v>71</v>
      </c>
      <c r="J4" s="33">
        <v>78</v>
      </c>
      <c r="L4">
        <v>83</v>
      </c>
    </row>
    <row r="5" spans="1:12" ht="12.75" customHeight="1">
      <c r="A5" s="33" t="s">
        <v>225</v>
      </c>
      <c r="B5" s="33" t="s">
        <v>226</v>
      </c>
      <c r="C5" s="33" t="s">
        <v>16</v>
      </c>
      <c r="D5" s="33" t="s">
        <v>20</v>
      </c>
      <c r="E5" s="33" t="s">
        <v>227</v>
      </c>
      <c r="F5" s="33" t="s">
        <v>228</v>
      </c>
      <c r="G5" s="33" t="s">
        <v>16</v>
      </c>
      <c r="H5" s="33" t="s">
        <v>8</v>
      </c>
      <c r="I5" s="33" t="s">
        <v>20</v>
      </c>
      <c r="J5" s="33" t="s">
        <v>6</v>
      </c>
      <c r="K5" s="33" t="s">
        <v>227</v>
      </c>
      <c r="L5" t="s">
        <v>10</v>
      </c>
    </row>
    <row r="6" spans="1:12" ht="12.75" customHeight="1">
      <c r="A6" s="33" t="s">
        <v>229</v>
      </c>
      <c r="B6" s="33" t="s">
        <v>6</v>
      </c>
      <c r="C6" s="33" t="s">
        <v>230</v>
      </c>
      <c r="D6" s="33" t="s">
        <v>9</v>
      </c>
      <c r="G6" s="33" t="s">
        <v>231</v>
      </c>
      <c r="H6" s="33" t="s">
        <v>232</v>
      </c>
      <c r="I6" s="33" t="s">
        <v>11</v>
      </c>
      <c r="J6" s="33" t="s">
        <v>233</v>
      </c>
      <c r="L6" t="s">
        <v>7</v>
      </c>
    </row>
    <row r="7" spans="1:12" ht="12.75" customHeight="1">
      <c r="A7" s="33" t="s">
        <v>234</v>
      </c>
      <c r="B7" s="33" t="s">
        <v>235</v>
      </c>
      <c r="D7" s="33" t="s">
        <v>236</v>
      </c>
      <c r="F7" s="33" t="s">
        <v>237</v>
      </c>
      <c r="G7" s="33" t="s">
        <v>228</v>
      </c>
      <c r="H7" s="33" t="s">
        <v>18</v>
      </c>
      <c r="I7" s="33" t="s">
        <v>10</v>
      </c>
      <c r="J7" s="33" t="s">
        <v>16</v>
      </c>
      <c r="L7" t="s">
        <v>238</v>
      </c>
    </row>
    <row r="8" spans="1:12" ht="12.75" customHeight="1"/>
    <row r="9" spans="1:12" ht="12.75" customHeight="1"/>
    <row r="10" spans="1:12" ht="12.75" customHeight="1">
      <c r="B10" s="33" t="s">
        <v>239</v>
      </c>
      <c r="C10" s="33" t="s">
        <v>240</v>
      </c>
      <c r="D10" s="33" t="s">
        <v>241</v>
      </c>
    </row>
    <row r="11" spans="1:12" ht="12.75" customHeight="1">
      <c r="A11" s="33" t="s">
        <v>16</v>
      </c>
      <c r="B11" s="1">
        <v>2</v>
      </c>
      <c r="C11" s="1">
        <v>0</v>
      </c>
      <c r="D11" s="1">
        <v>3</v>
      </c>
    </row>
    <row r="12" spans="1:12" ht="12.75" customHeight="1">
      <c r="A12" s="33" t="s">
        <v>20</v>
      </c>
      <c r="B12" s="1">
        <v>2</v>
      </c>
      <c r="C12" s="1">
        <v>0</v>
      </c>
      <c r="D12" s="1">
        <v>0</v>
      </c>
    </row>
    <row r="13" spans="1:12" ht="12.75" customHeight="1">
      <c r="A13" s="33" t="s">
        <v>242</v>
      </c>
      <c r="B13" s="1">
        <v>1</v>
      </c>
      <c r="C13" s="1">
        <v>1</v>
      </c>
      <c r="D13" s="1">
        <v>0</v>
      </c>
    </row>
    <row r="14" spans="1:12" ht="12.75" customHeight="1">
      <c r="A14" s="33" t="s">
        <v>15</v>
      </c>
      <c r="B14" s="1">
        <v>1</v>
      </c>
      <c r="C14" s="1">
        <v>0</v>
      </c>
      <c r="D14" s="1">
        <v>1</v>
      </c>
    </row>
    <row r="15" spans="1:12" ht="12.75" customHeight="1">
      <c r="A15" s="33" t="s">
        <v>243</v>
      </c>
      <c r="B15" s="1">
        <v>1</v>
      </c>
      <c r="C15" s="1">
        <v>0</v>
      </c>
      <c r="D15" s="1">
        <v>1</v>
      </c>
    </row>
    <row r="16" spans="1:12" ht="12.75" customHeight="1">
      <c r="A16" s="33" t="s">
        <v>10</v>
      </c>
      <c r="B16" s="1">
        <v>1</v>
      </c>
      <c r="C16" s="1">
        <v>0</v>
      </c>
      <c r="D16" s="1">
        <v>1</v>
      </c>
    </row>
    <row r="17" spans="1:4" ht="12.75" customHeight="1">
      <c r="A17" s="33" t="s">
        <v>8</v>
      </c>
      <c r="B17" s="1">
        <v>1</v>
      </c>
      <c r="C17" s="1">
        <v>0</v>
      </c>
      <c r="D17" s="1">
        <v>0</v>
      </c>
    </row>
    <row r="18" spans="1:4" ht="12.75" customHeight="1">
      <c r="A18" s="33" t="s">
        <v>226</v>
      </c>
      <c r="B18" s="1">
        <v>1</v>
      </c>
      <c r="C18" s="1">
        <v>0</v>
      </c>
      <c r="D18" s="1">
        <v>0</v>
      </c>
    </row>
    <row r="19" spans="1:4" ht="12.75" customHeight="1">
      <c r="A19" s="33" t="s">
        <v>11</v>
      </c>
      <c r="B19" s="1">
        <v>0</v>
      </c>
      <c r="C19" s="1">
        <v>2</v>
      </c>
      <c r="D19" s="1">
        <v>0</v>
      </c>
    </row>
    <row r="20" spans="1:4" ht="12.75" customHeight="1">
      <c r="A20" s="33" t="s">
        <v>244</v>
      </c>
      <c r="B20" s="1">
        <v>0</v>
      </c>
      <c r="C20" s="1">
        <v>1</v>
      </c>
      <c r="D20" s="1">
        <v>0</v>
      </c>
    </row>
    <row r="21" spans="1:4" ht="12.75" customHeight="1">
      <c r="A21" s="33" t="s">
        <v>9</v>
      </c>
      <c r="B21" s="1">
        <v>0</v>
      </c>
      <c r="C21" s="1">
        <v>1</v>
      </c>
      <c r="D21" s="1">
        <v>0</v>
      </c>
    </row>
    <row r="22" spans="1:4" ht="12.75" customHeight="1">
      <c r="A22" s="33" t="s">
        <v>245</v>
      </c>
      <c r="B22" s="1">
        <v>0</v>
      </c>
      <c r="C22" s="1">
        <v>1</v>
      </c>
      <c r="D22" s="1">
        <v>0</v>
      </c>
    </row>
    <row r="23" spans="1:4" ht="12.75" customHeight="1">
      <c r="A23" s="33" t="s">
        <v>246</v>
      </c>
      <c r="B23" s="1">
        <v>0</v>
      </c>
      <c r="C23" s="1">
        <v>1</v>
      </c>
      <c r="D23" s="1">
        <v>0</v>
      </c>
    </row>
    <row r="24" spans="1:4" ht="12.75" customHeight="1">
      <c r="A24" s="33" t="s">
        <v>247</v>
      </c>
      <c r="B24" s="1">
        <v>0</v>
      </c>
      <c r="C24" s="1">
        <v>1</v>
      </c>
      <c r="D24" s="1">
        <v>0</v>
      </c>
    </row>
    <row r="25" spans="1:4" ht="12.75" customHeight="1">
      <c r="A25" t="s">
        <v>7</v>
      </c>
      <c r="B25" s="72">
        <v>0</v>
      </c>
      <c r="C25" s="72">
        <v>1</v>
      </c>
      <c r="D25" s="72">
        <v>0</v>
      </c>
    </row>
    <row r="26" spans="1:4" ht="12.75" customHeight="1">
      <c r="A26" s="33" t="s">
        <v>235</v>
      </c>
      <c r="B26" s="1">
        <v>0</v>
      </c>
      <c r="C26" s="1">
        <v>0</v>
      </c>
      <c r="D26" s="1">
        <v>1</v>
      </c>
    </row>
    <row r="27" spans="1:4" ht="12.75" customHeight="1">
      <c r="A27" s="33" t="s">
        <v>22</v>
      </c>
      <c r="B27" s="1">
        <v>0</v>
      </c>
      <c r="C27" s="1">
        <v>0</v>
      </c>
      <c r="D27" s="1">
        <v>1</v>
      </c>
    </row>
    <row r="28" spans="1:4" ht="12.75" customHeight="1">
      <c r="A28" s="33" t="s">
        <v>248</v>
      </c>
      <c r="B28" s="1">
        <v>0</v>
      </c>
      <c r="C28" s="1">
        <v>0</v>
      </c>
      <c r="D28" s="1">
        <v>1</v>
      </c>
    </row>
    <row r="29" spans="1:4" ht="12.75" customHeight="1">
      <c r="A29" s="33" t="s">
        <v>18</v>
      </c>
      <c r="B29" s="1">
        <v>0</v>
      </c>
      <c r="C29" s="1">
        <v>0</v>
      </c>
      <c r="D29" s="1">
        <v>1</v>
      </c>
    </row>
    <row r="30" spans="1:4" ht="12.75" customHeight="1">
      <c r="A30" t="s">
        <v>12</v>
      </c>
      <c r="B30" s="72">
        <v>0</v>
      </c>
      <c r="C30" s="72">
        <v>0</v>
      </c>
      <c r="D30" s="72">
        <v>1</v>
      </c>
    </row>
    <row r="31" spans="1:4" ht="12.75" customHeight="1"/>
    <row r="32" spans="1: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5A5A5"/>
  </sheetPr>
  <dimension ref="A1:Z1000"/>
  <sheetViews>
    <sheetView workbookViewId="0"/>
  </sheetViews>
  <sheetFormatPr defaultColWidth="14.42578125" defaultRowHeight="15" customHeight="1"/>
  <cols>
    <col min="1" max="1" width="1.42578125" customWidth="1"/>
    <col min="2" max="2" width="10" customWidth="1"/>
    <col min="3" max="3" width="9.28515625" customWidth="1"/>
    <col min="4" max="4" width="10" customWidth="1"/>
    <col min="5" max="5" width="9.28515625" customWidth="1"/>
    <col min="6" max="6" width="10" customWidth="1"/>
    <col min="7" max="7" width="9.28515625" customWidth="1"/>
    <col min="8" max="8" width="10" customWidth="1"/>
    <col min="9" max="14" width="9.140625" customWidth="1"/>
    <col min="15" max="26" width="8.7109375" customWidth="1"/>
  </cols>
  <sheetData>
    <row r="1" spans="1:26" ht="23.25" customHeight="1">
      <c r="A1" s="63"/>
      <c r="B1" s="64" t="s">
        <v>249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spans="1:26" ht="12.75" customHeight="1">
      <c r="A2" s="65"/>
      <c r="B2" s="66" t="s">
        <v>250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12.75" customHeight="1">
      <c r="A3" s="23"/>
      <c r="B3" s="66" t="s">
        <v>251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ht="12.75" customHeight="1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spans="1:26" ht="12.75" customHeight="1">
      <c r="A5" s="23"/>
      <c r="B5" s="67" t="s">
        <v>252</v>
      </c>
      <c r="C5" s="68"/>
      <c r="D5" s="68"/>
      <c r="E5" s="68"/>
      <c r="F5" s="68"/>
      <c r="G5" s="68"/>
      <c r="H5" s="68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spans="1:26" ht="12.75" customHeight="1">
      <c r="A6" s="23"/>
      <c r="B6" s="66" t="s">
        <v>253</v>
      </c>
      <c r="C6" s="23"/>
      <c r="D6" s="69"/>
      <c r="E6" s="23"/>
      <c r="F6" s="69"/>
      <c r="G6" s="23"/>
      <c r="H6" s="69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spans="1:26" ht="12.75" customHeight="1">
      <c r="A7" s="23"/>
      <c r="B7" s="23" t="s">
        <v>254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spans="1:26" ht="12.75" customHeight="1">
      <c r="A8" s="23"/>
      <c r="B8" s="23" t="s">
        <v>255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2.75" customHeight="1">
      <c r="A9" s="23"/>
      <c r="B9" s="23" t="s">
        <v>256</v>
      </c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2.75" customHeight="1">
      <c r="A10" s="23"/>
      <c r="B10" s="66" t="s">
        <v>257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39" customHeight="1">
      <c r="A11" s="23"/>
      <c r="B11" s="161" t="s">
        <v>258</v>
      </c>
      <c r="C11" s="125"/>
      <c r="D11" s="125"/>
      <c r="E11" s="125"/>
      <c r="F11" s="125"/>
      <c r="G11" s="125"/>
      <c r="H11" s="125"/>
      <c r="I11" s="125"/>
      <c r="J11" s="125"/>
      <c r="K11" s="125"/>
      <c r="L11" s="125"/>
      <c r="M11" s="125"/>
      <c r="N11" s="125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2.75" customHeight="1">
      <c r="A12" s="23"/>
      <c r="B12" s="66" t="s">
        <v>259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12.75" customHeight="1">
      <c r="A13" s="23"/>
      <c r="B13" s="23" t="s">
        <v>260</v>
      </c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2.75" customHeight="1">
      <c r="A14" s="69"/>
      <c r="B14" s="66" t="s">
        <v>261</v>
      </c>
      <c r="C14" s="69"/>
      <c r="D14" s="69"/>
      <c r="E14" s="23"/>
      <c r="F14" s="69"/>
      <c r="G14" s="69"/>
      <c r="H14" s="69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12.75" customHeight="1">
      <c r="A15" s="69"/>
      <c r="B15" s="23" t="s">
        <v>262</v>
      </c>
      <c r="C15" s="69"/>
      <c r="D15" s="69"/>
      <c r="E15" s="23"/>
      <c r="F15" s="69"/>
      <c r="G15" s="69"/>
      <c r="H15" s="69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2.75" customHeight="1">
      <c r="A16" s="23"/>
      <c r="B16" s="23" t="s">
        <v>263</v>
      </c>
      <c r="C16" s="9"/>
      <c r="D16" s="23"/>
      <c r="E16" s="23"/>
      <c r="F16" s="23"/>
      <c r="G16" s="9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spans="1:26" ht="12.75" customHeight="1">
      <c r="A17" s="23"/>
      <c r="B17" s="23" t="s">
        <v>264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spans="1:26" ht="12.75" customHeight="1">
      <c r="A18" s="69"/>
      <c r="B18" s="23" t="s">
        <v>265</v>
      </c>
      <c r="C18" s="23"/>
      <c r="D18" s="23"/>
      <c r="E18" s="9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spans="1:26" ht="12.75" customHeight="1">
      <c r="A19" s="23"/>
      <c r="B19" s="23" t="s">
        <v>266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spans="1:26" ht="12.75" customHeight="1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spans="1:26" ht="12.75" customHeight="1">
      <c r="A21" s="23"/>
      <c r="B21" s="67" t="s">
        <v>267</v>
      </c>
      <c r="C21" s="23"/>
      <c r="D21" s="23" t="s">
        <v>268</v>
      </c>
      <c r="E21" s="23" t="s">
        <v>269</v>
      </c>
      <c r="F21" s="23" t="s">
        <v>270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spans="1:26" ht="12.75" customHeight="1">
      <c r="A22" s="23"/>
      <c r="B22" s="23"/>
      <c r="C22" s="23"/>
      <c r="D22" s="23" t="s">
        <v>271</v>
      </c>
      <c r="E22" s="23" t="s">
        <v>272</v>
      </c>
      <c r="F22" s="23">
        <f>D22*E22</f>
        <v>600</v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spans="1:26" ht="12.75" customHeight="1">
      <c r="A23" s="23"/>
      <c r="B23" s="23" t="s">
        <v>273</v>
      </c>
      <c r="C23" s="23"/>
      <c r="D23" s="23"/>
      <c r="E23" s="23"/>
      <c r="F23" s="71">
        <f>F22*0.7*1</f>
        <v>420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spans="1:26" ht="12.75" customHeight="1">
      <c r="A24" s="23"/>
      <c r="B24" s="23" t="s">
        <v>274</v>
      </c>
      <c r="C24" s="23"/>
      <c r="D24" s="23"/>
      <c r="E24" s="23"/>
      <c r="F24" s="71">
        <f>F22*0.2</f>
        <v>120</v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spans="1:26" ht="12.75" customHeight="1">
      <c r="A25" s="23"/>
      <c r="B25" s="23" t="s">
        <v>275</v>
      </c>
      <c r="C25" s="23"/>
      <c r="D25" s="23"/>
      <c r="E25" s="23"/>
      <c r="F25" s="71">
        <f>F22*0.1</f>
        <v>60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spans="1:26" ht="12.75" customHeight="1">
      <c r="A26" s="23"/>
      <c r="B26" s="23" t="s">
        <v>276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spans="1:26" ht="12.75" customHeight="1">
      <c r="A27" s="23"/>
      <c r="B27" s="23" t="s">
        <v>277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spans="1:26" ht="12.75" customHeight="1">
      <c r="A28" s="23"/>
      <c r="B28" s="23" t="s">
        <v>278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spans="1:26" ht="12.75" customHeight="1">
      <c r="A29" s="23"/>
      <c r="B29" s="23" t="s">
        <v>279</v>
      </c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spans="1:26" ht="6.75" customHeight="1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spans="1:26" ht="12.75" customHeight="1">
      <c r="A31" s="23"/>
      <c r="B31" s="67" t="s">
        <v>280</v>
      </c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spans="1:26" ht="12.75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spans="1:26" ht="12.7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spans="1:26" ht="12.75" customHeight="1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2.75" customHeight="1">
      <c r="A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spans="1:26" ht="12.75" customHeight="1">
      <c r="A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spans="1:26" ht="12.75" customHeight="1">
      <c r="A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spans="1:26" ht="12.75" customHeight="1">
      <c r="A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spans="1:26" ht="12.75" customHeight="1">
      <c r="A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spans="1:26" ht="12.75" customHeight="1">
      <c r="A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spans="1:26" ht="12.75" customHeight="1">
      <c r="A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spans="1:26" ht="12.75" customHeight="1">
      <c r="A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spans="1:26" ht="12.75" customHeight="1">
      <c r="A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spans="1:26" ht="12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spans="1:26" ht="12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spans="1:26" ht="12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spans="1:26" ht="12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spans="1:26" ht="12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spans="1:26" ht="12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spans="1:26" ht="12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spans="1:26" ht="12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spans="1:26" ht="12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spans="1:26" ht="12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2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spans="1:26" ht="12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spans="1:26" ht="12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spans="1:26" ht="12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spans="1:26" ht="12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spans="1:26" ht="12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spans="1:26" ht="12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spans="1:26" ht="12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spans="1:26" ht="12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spans="1:26" ht="12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spans="1:26" ht="12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spans="1:26" ht="12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spans="1:26" ht="12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spans="1:26" ht="12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spans="1:26" ht="12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spans="1:26" ht="12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spans="1:26" ht="12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spans="1:26" ht="12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spans="1:26" ht="12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spans="1:26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spans="1:26" ht="12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spans="1:26" ht="12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spans="1:26" ht="12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spans="1:26" ht="12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spans="1:26" ht="12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spans="1:26" ht="12.75" customHeight="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spans="1:26" ht="12.75" customHeight="1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spans="1:26" ht="12.75" customHeight="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spans="1:26" ht="12.75" customHeight="1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 spans="1:26" ht="12.75" customHeight="1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spans="1:26" ht="12.75" customHeight="1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spans="1:26" ht="12.7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spans="1:26" ht="12.75" customHeight="1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spans="1:26" ht="12.75" customHeight="1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spans="1:26" ht="12.75" customHeight="1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spans="1:26" ht="12.75" customHeight="1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spans="1:26" ht="12.75" customHeight="1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spans="1:26" ht="12.75" customHeight="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spans="1:26" ht="12.75" customHeight="1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spans="1:26" ht="12.75" customHeight="1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spans="1:26" ht="12.75" customHeight="1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spans="1:26" ht="12.75" customHeight="1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spans="1:26" ht="12.75" customHeight="1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spans="1:26" ht="12.75" customHeight="1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spans="1:26" ht="12.75" customHeight="1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 spans="1:26" ht="12.75" customHeight="1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spans="1:26" ht="12.75" customHeight="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spans="1:26" ht="12.75" customHeight="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spans="1:26" ht="12.75" customHeight="1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spans="1:26" ht="12.75" customHeight="1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spans="1:26" ht="12.75" customHeight="1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spans="1:26" ht="12.75" customHeight="1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spans="1:26" ht="12.75" customHeight="1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spans="1:26" ht="12.75" customHeight="1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 spans="1:26" ht="12.75" customHeight="1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spans="1:26" ht="12.75" customHeight="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spans="1:26" ht="12.75" customHeight="1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spans="1:26" ht="12.75" customHeight="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spans="1:26" ht="12.75" customHeight="1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spans="1:26" ht="12.75" customHeight="1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spans="1:26" ht="12.75" customHeight="1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spans="1:26" ht="12.75" customHeight="1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spans="1:26" ht="12.75" customHeight="1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spans="1:26" ht="12.75" customHeight="1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spans="1:26" ht="12.75" customHeight="1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spans="1:26" ht="12.75" customHeight="1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spans="1:26" ht="12.75" customHeight="1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spans="1:26" ht="12.75" customHeight="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spans="1:26" ht="12.75" customHeight="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spans="1:26" ht="12.75" customHeight="1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spans="1:26" ht="12.7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spans="1:26" ht="12.75" customHeight="1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spans="1:26" ht="12.75" customHeight="1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spans="1:26" ht="12.75" customHeight="1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spans="1:26" ht="12.75" customHeight="1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spans="1:26" ht="12.75" customHeight="1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spans="1:26" ht="12.75" customHeight="1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spans="1:26" ht="12.75" customHeight="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spans="1:26" ht="12.75" customHeight="1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spans="1:26" ht="12.75" customHeight="1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spans="1:26" ht="12.75" customHeight="1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spans="1:26" ht="12.75" customHeight="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spans="1:26" ht="12.75" customHeight="1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spans="1:26" ht="12.75" customHeight="1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spans="1:26" ht="12.75" customHeight="1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spans="1:26" ht="12.75" customHeight="1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spans="1:26" ht="12.75" customHeight="1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spans="1:26" ht="12.75" customHeight="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spans="1:26" ht="12.75" customHeight="1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spans="1:26" ht="12.75" customHeight="1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spans="1:26" ht="12.75" customHeight="1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spans="1:26" ht="12.75" customHeight="1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spans="1:26" ht="12.75" customHeight="1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spans="1:26" ht="12.75" customHeight="1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spans="1:26" ht="12.75" customHeight="1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spans="1:26" ht="12.75" customHeight="1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spans="1:26" ht="12.75" customHeight="1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spans="1:26" ht="12.75" customHeight="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spans="1:26" ht="12.75" customHeight="1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spans="1:26" ht="12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spans="1:26" ht="12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spans="1:26" ht="12.75" customHeight="1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 spans="1:26" ht="12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spans="1:26" ht="12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spans="1:26" ht="12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spans="1:26" ht="12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spans="1:26" ht="12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spans="1:26" ht="12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spans="1:26" ht="12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spans="1:26" ht="12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spans="1:26" ht="12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spans="1:26" ht="12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spans="1:26" ht="12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spans="1:26" ht="12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spans="1:26" ht="12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spans="1:26" ht="12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spans="1:26" ht="12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spans="1:26" ht="12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spans="1:26" ht="12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spans="1:26" ht="12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spans="1:26" ht="12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spans="1:26" ht="12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spans="1:26" ht="12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spans="1:26" ht="12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spans="1:26" ht="12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spans="1:26" ht="12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spans="1:26" ht="12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spans="1:26" ht="12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spans="1:26" ht="12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spans="1:26" ht="12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spans="1:26" ht="12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spans="1:26" ht="12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spans="1:26" ht="12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spans="1:26" ht="12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spans="1:26" ht="12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spans="1:26" ht="12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spans="1:26" ht="12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spans="1:26" ht="12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spans="1:26" ht="12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spans="1:26" ht="12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spans="1:26" ht="12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spans="1:26" ht="12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spans="1:26" ht="12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spans="1:26" ht="12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spans="1:26" ht="12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spans="1:26" ht="12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spans="1:26" ht="12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 spans="1:26" ht="12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spans="1:26" ht="12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 spans="1:26" ht="12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spans="1:26" ht="12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spans="1:26" ht="12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spans="1:26" ht="12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spans="1:26" ht="12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spans="1:26" ht="12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spans="1:26" ht="12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spans="1:26" ht="12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spans="1:26" ht="12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spans="1:26" ht="12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spans="1:26" ht="12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spans="1:26" ht="12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spans="1:26" ht="12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spans="1:26" ht="12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spans="1:26" ht="12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spans="1:26" ht="12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spans="1:26" ht="12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spans="1:26" ht="12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 spans="1:26" ht="12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spans="1:26" ht="12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spans="1:26" ht="12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spans="1:26" ht="12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spans="1:26" ht="12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spans="1:26" ht="12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spans="1:26" ht="12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spans="1:26" ht="12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spans="1:26" ht="12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spans="1:26" ht="12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spans="1:26" ht="12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spans="1:26" ht="12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spans="1:26" ht="12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spans="1:26" ht="12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spans="1:26" ht="12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2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2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2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2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2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2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2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2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2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2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2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2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2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2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2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2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2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2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2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2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2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2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2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2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2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2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2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2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2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2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2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2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2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2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2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2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2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2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2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2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2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2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2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2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2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2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2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2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2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2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2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2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2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2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2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2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2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2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2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2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2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2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2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2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2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2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2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2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2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2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2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2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2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2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2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2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2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2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2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2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2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2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2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2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2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2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2.75" customHeight="1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2.75" customHeight="1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2.75" customHeight="1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2.75" customHeight="1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2.75" customHeight="1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2.75" customHeight="1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2.75" customHeight="1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2.75" customHeight="1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2.75" customHeight="1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2.75" customHeight="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2.75" customHeight="1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2.75" customHeight="1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2.75" customHeight="1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2.75" customHeight="1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2.75" customHeight="1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2.75" customHeight="1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2.75" customHeight="1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2.75" customHeight="1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2.75" customHeight="1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2.75" customHeight="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2.75" customHeight="1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2.75" customHeight="1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2.75" customHeight="1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2.75" customHeight="1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2.75" customHeight="1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2.75" customHeight="1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2.75" customHeight="1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2.75" customHeight="1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2.75" customHeight="1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2.75" customHeight="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2.75" customHeight="1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2.75" customHeight="1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2.75" customHeight="1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2.75" customHeight="1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2.75" customHeight="1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2.75" customHeight="1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2.75" customHeight="1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2.75" customHeight="1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2.75" customHeight="1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2.75" customHeight="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2.75" customHeight="1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2.75" customHeight="1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2.75" customHeight="1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2.75" customHeight="1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2.75" customHeight="1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2.75" customHeight="1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2.75" customHeight="1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2.75" customHeight="1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2.75" customHeight="1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2.75" customHeight="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2.75" customHeight="1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2.75" customHeight="1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2.75" customHeight="1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2.75" customHeight="1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2.75" customHeight="1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2.75" customHeight="1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2.75" customHeight="1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2.75" customHeight="1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2.75" customHeight="1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2.75" customHeight="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2.75" customHeight="1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2.75" customHeight="1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2.75" customHeight="1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2.75" customHeight="1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2.75" customHeight="1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2.75" customHeight="1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2.75" customHeight="1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2.75" customHeight="1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2.75" customHeight="1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2.75" customHeight="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2.75" customHeight="1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2.75" customHeight="1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2.75" customHeight="1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2.75" customHeight="1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2.75" customHeight="1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2.75" customHeight="1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2.75" customHeight="1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2.75" customHeight="1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2.75" customHeight="1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2.75" customHeight="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2.75" customHeight="1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2.75" customHeight="1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2.75" customHeight="1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2.75" customHeight="1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2.75" customHeight="1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2.75" customHeight="1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2.75" customHeight="1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2.75" customHeight="1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2.75" customHeight="1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2.75" customHeight="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2.75" customHeight="1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2.75" customHeight="1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2.75" customHeight="1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2.75" customHeight="1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2.75" customHeight="1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2.75" customHeight="1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2.75" customHeight="1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2.75" customHeight="1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2.75" customHeight="1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2.75" customHeight="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2.75" customHeight="1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2.75" customHeight="1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2.75" customHeight="1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2.75" customHeight="1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2.75" customHeight="1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2.75" customHeight="1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2.75" customHeight="1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2.75" customHeight="1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2.75" customHeight="1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2.75" customHeight="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2.75" customHeight="1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2.75" customHeight="1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2.75" customHeight="1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2.75" customHeight="1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2.75" customHeight="1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2.75" customHeight="1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2.75" customHeight="1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2.75" customHeight="1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2.75" customHeight="1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2.75" customHeight="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2.75" customHeight="1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2.75" customHeight="1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2.75" customHeight="1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2.75" customHeight="1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2.75" customHeight="1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2.75" customHeight="1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2.75" customHeight="1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2.75" customHeight="1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2.75" customHeight="1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2.75" customHeight="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2.75" customHeight="1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2.75" customHeight="1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2.75" customHeight="1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2.75" customHeight="1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2.75" customHeight="1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2.75" customHeight="1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2.75" customHeight="1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2.75" customHeight="1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2.75" customHeight="1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2.75" customHeight="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2.75" customHeight="1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2.75" customHeight="1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2.75" customHeight="1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2.75" customHeight="1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2.75" customHeight="1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2.75" customHeight="1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2.75" customHeight="1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2.75" customHeight="1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2.75" customHeight="1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2.75" customHeight="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2.75" customHeight="1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2.75" customHeight="1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2.75" customHeight="1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2.75" customHeight="1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2.75" customHeight="1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2.75" customHeight="1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2.75" customHeight="1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2.75" customHeight="1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2.75" customHeight="1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2.75" customHeight="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2.75" customHeight="1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2.75" customHeight="1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2.75" customHeight="1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2.75" customHeight="1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2.75" customHeight="1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2.75" customHeight="1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2.75" customHeight="1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2.75" customHeight="1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2.75" customHeight="1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2.75" customHeight="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2.75" customHeight="1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2.75" customHeight="1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2.75" customHeight="1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2.75" customHeight="1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2.75" customHeight="1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2.75" customHeight="1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2.75" customHeight="1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2.75" customHeight="1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2.75" customHeight="1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2.75" customHeight="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2.75" customHeight="1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2.75" customHeight="1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2.75" customHeight="1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2.75" customHeight="1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2.75" customHeight="1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2.75" customHeight="1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2.75" customHeight="1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2.75" customHeight="1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2.75" customHeight="1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2.75" customHeight="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2.75" customHeight="1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2.75" customHeight="1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2.75" customHeight="1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2.75" customHeight="1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2.75" customHeight="1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2.75" customHeight="1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2.75" customHeight="1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2.75" customHeight="1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2.75" customHeight="1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2.75" customHeight="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2.75" customHeight="1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2.75" customHeight="1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2.75" customHeight="1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2.75" customHeight="1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2.75" customHeight="1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2.75" customHeight="1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2.75" customHeight="1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2.75" customHeight="1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2.75" customHeight="1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2.75" customHeight="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2.75" customHeight="1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2.75" customHeight="1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2.75" customHeight="1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2.75" customHeight="1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2.75" customHeight="1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2.75" customHeight="1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2.75" customHeight="1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2.75" customHeight="1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2.75" customHeight="1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2.75" customHeight="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2.75" customHeight="1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2.75" customHeight="1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2.75" customHeight="1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2.75" customHeight="1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2.75" customHeight="1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2.75" customHeight="1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2.75" customHeight="1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2.75" customHeight="1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2.75" customHeight="1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2.75" customHeight="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2.75" customHeight="1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2.75" customHeight="1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2.75" customHeight="1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2.75" customHeight="1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2.75" customHeight="1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2.75" customHeight="1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2.75" customHeight="1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2.75" customHeight="1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2.75" customHeight="1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2.75" customHeight="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2.75" customHeight="1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2.75" customHeight="1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2.75" customHeight="1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2.75" customHeight="1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2.75" customHeight="1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2.75" customHeight="1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2.75" customHeight="1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2.75" customHeight="1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2.75" customHeight="1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2.75" customHeight="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2.75" customHeight="1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2.75" customHeight="1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2.75" customHeight="1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2.75" customHeight="1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2.75" customHeight="1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2.75" customHeight="1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2.75" customHeight="1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2.75" customHeight="1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2.75" customHeight="1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2.75" customHeight="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2.75" customHeight="1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2.75" customHeight="1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2.75" customHeight="1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2.75" customHeight="1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2.75" customHeight="1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2.75" customHeight="1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2.75" customHeight="1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2.75" customHeight="1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2.75" customHeight="1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2.75" customHeight="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2.75" customHeight="1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2.75" customHeight="1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2.75" customHeight="1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2.75" customHeight="1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2.75" customHeight="1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2.75" customHeight="1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2.75" customHeight="1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2.75" customHeight="1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2.75" customHeight="1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2.75" customHeight="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2.75" customHeight="1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2.75" customHeight="1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2.75" customHeight="1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2.75" customHeight="1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2.75" customHeight="1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2.75" customHeight="1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2.75" customHeight="1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2.75" customHeight="1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2.75" customHeight="1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2.75" customHeight="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2.75" customHeight="1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2.75" customHeight="1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2.75" customHeight="1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2.75" customHeight="1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2.75" customHeight="1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2.75" customHeight="1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2.75" customHeight="1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2.75" customHeight="1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2.75" customHeight="1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2.75" customHeight="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2.75" customHeight="1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2.75" customHeight="1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2.75" customHeight="1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2.75" customHeight="1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2.75" customHeight="1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2.75" customHeight="1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2.75" customHeight="1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2.75" customHeight="1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2.75" customHeight="1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2.75" customHeight="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2.75" customHeight="1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2.75" customHeight="1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2.75" customHeight="1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2.75" customHeight="1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2.75" customHeight="1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2.75" customHeight="1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2.75" customHeight="1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2.75" customHeight="1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2.75" customHeight="1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2.75" customHeight="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2.75" customHeight="1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2.75" customHeight="1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2.75" customHeight="1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2.75" customHeight="1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2.75" customHeight="1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2.75" customHeight="1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2.75" customHeight="1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2.75" customHeight="1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2.75" customHeight="1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2.75" customHeight="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2.75" customHeight="1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2.75" customHeight="1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2.75" customHeight="1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2.75" customHeight="1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2.75" customHeight="1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2.75" customHeight="1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2.75" customHeight="1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2.75" customHeight="1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2.75" customHeight="1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2.75" customHeight="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2.75" customHeight="1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2.75" customHeight="1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2.75" customHeight="1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2.75" customHeight="1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2.75" customHeight="1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2.75" customHeight="1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2.75" customHeight="1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2.75" customHeight="1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2.75" customHeight="1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2.75" customHeight="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2.75" customHeight="1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2.75" customHeight="1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2.75" customHeight="1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2.75" customHeight="1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2.75" customHeight="1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2.75" customHeight="1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2.75" customHeight="1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2.75" customHeight="1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2.75" customHeight="1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2.75" customHeight="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2.75" customHeight="1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2.75" customHeight="1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2.75" customHeight="1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2.75" customHeight="1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2.75" customHeight="1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2.75" customHeight="1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2.75" customHeight="1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2.75" customHeight="1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2.75" customHeight="1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2.75" customHeight="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2.75" customHeight="1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2.75" customHeight="1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2.75" customHeight="1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2.75" customHeight="1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2.75" customHeight="1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2.75" customHeight="1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2.75" customHeight="1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2.75" customHeight="1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2.75" customHeight="1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2.75" customHeight="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2.75" customHeight="1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2.75" customHeight="1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2.75" customHeight="1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2.75" customHeight="1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2.75" customHeight="1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2.75" customHeight="1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2.75" customHeight="1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2.75" customHeight="1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2.75" customHeight="1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2.75" customHeight="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2.75" customHeight="1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2.75" customHeight="1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2.75" customHeight="1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2.75" customHeight="1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2.75" customHeight="1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2.75" customHeight="1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2.75" customHeight="1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2.75" customHeight="1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2.75" customHeight="1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2.75" customHeight="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2.75" customHeight="1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2.75" customHeight="1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2.75" customHeight="1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2.75" customHeight="1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2.75" customHeight="1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2.75" customHeight="1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2.75" customHeight="1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2.75" customHeight="1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2.75" customHeight="1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2.75" customHeight="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2.75" customHeight="1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2.75" customHeight="1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2.75" customHeight="1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2.75" customHeight="1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2.75" customHeight="1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2.75" customHeight="1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2.75" customHeight="1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2.75" customHeight="1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2.75" customHeight="1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2.75" customHeight="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2.75" customHeight="1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2.75" customHeight="1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2.75" customHeight="1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2.75" customHeight="1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2.75" customHeight="1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2.75" customHeight="1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2.75" customHeight="1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2.75" customHeight="1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2.75" customHeight="1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2.75" customHeight="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2.75" customHeight="1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2.75" customHeight="1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2.75" customHeight="1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2.75" customHeight="1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2.75" customHeight="1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2.75" customHeight="1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2.75" customHeight="1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2.75" customHeight="1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2.75" customHeight="1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2.75" customHeight="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2.75" customHeight="1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2.75" customHeight="1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2.75" customHeight="1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2.75" customHeight="1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2.75" customHeight="1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2.75" customHeight="1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2.75" customHeight="1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2.75" customHeight="1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2.75" customHeight="1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2.75" customHeight="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2.75" customHeight="1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2.75" customHeight="1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2.75" customHeight="1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2.75" customHeight="1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2.75" customHeight="1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2.75" customHeight="1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2.75" customHeight="1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2.75" customHeight="1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2.75" customHeight="1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2.75" customHeight="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2.75" customHeight="1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2.75" customHeight="1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2.75" customHeight="1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2.75" customHeight="1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2.75" customHeight="1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2.75" customHeight="1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2.75" customHeight="1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2.75" customHeight="1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2.75" customHeight="1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2.75" customHeight="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2.75" customHeight="1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2.75" customHeight="1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2.75" customHeight="1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2.75" customHeight="1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2.75" customHeight="1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2.75" customHeight="1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2.75" customHeight="1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2.75" customHeight="1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2.75" customHeight="1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2.75" customHeight="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2.75" customHeight="1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2.75" customHeight="1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2.75" customHeight="1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2.75" customHeight="1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2.75" customHeight="1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2.75" customHeight="1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2.75" customHeight="1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2.75" customHeight="1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2.75" customHeight="1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2.75" customHeight="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2.75" customHeight="1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2.75" customHeight="1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2.75" customHeight="1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2.75" customHeight="1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2.75" customHeight="1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2.75" customHeight="1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2.75" customHeight="1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2.75" customHeight="1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2.75" customHeight="1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2.75" customHeight="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2.75" customHeight="1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2.75" customHeight="1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2.75" customHeight="1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2.75" customHeight="1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2.75" customHeight="1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2.75" customHeight="1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2.75" customHeight="1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2.75" customHeight="1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2.75" customHeight="1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2.75" customHeight="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2.75" customHeight="1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2.75" customHeight="1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2.75" customHeight="1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2.75" customHeight="1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2.75" customHeight="1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2.75" customHeight="1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2.75" customHeight="1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2.75" customHeight="1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2.75" customHeight="1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2.75" customHeight="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2.75" customHeight="1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2.75" customHeight="1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2.75" customHeight="1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2.75" customHeight="1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2.75" customHeight="1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2.75" customHeight="1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2.75" customHeight="1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2.75" customHeight="1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2.75" customHeight="1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2.75" customHeight="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2.75" customHeight="1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2.75" customHeight="1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2.75" customHeight="1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2.75" customHeight="1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2.75" customHeight="1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2.75" customHeight="1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2.75" customHeight="1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2.75" customHeight="1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2.75" customHeight="1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2.75" customHeight="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2.75" customHeight="1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2.75" customHeight="1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2.75" customHeight="1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2.75" customHeight="1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2.75" customHeight="1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2.75" customHeight="1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2.75" customHeight="1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2.75" customHeight="1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2.75" customHeight="1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2.75" customHeight="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2.75" customHeight="1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2.75" customHeight="1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2.75" customHeight="1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2.75" customHeight="1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2.75" customHeight="1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2.75" customHeight="1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2.75" customHeight="1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2.75" customHeight="1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2.75" customHeight="1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2.75" customHeight="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2.75" customHeight="1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2.75" customHeight="1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2.75" customHeight="1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2.75" customHeight="1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2.75" customHeight="1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2.75" customHeight="1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2.75" customHeight="1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2.75" customHeight="1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2.75" customHeight="1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2.75" customHeight="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2.75" customHeight="1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2.75" customHeight="1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2.75" customHeight="1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2.75" customHeight="1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2.75" customHeight="1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2.75" customHeight="1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2.75" customHeight="1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2.75" customHeight="1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2.75" customHeight="1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2.75" customHeight="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2.75" customHeight="1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2.75" customHeight="1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2.75" customHeight="1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2.75" customHeight="1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2.75" customHeight="1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2.75" customHeight="1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2.75" customHeight="1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2.75" customHeight="1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2.75" customHeight="1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2.75" customHeight="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2.75" customHeight="1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2.75" customHeight="1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2.75" customHeight="1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2.75" customHeight="1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2.75" customHeight="1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2.75" customHeight="1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2.75" customHeight="1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2.75" customHeight="1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2.75" customHeight="1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2.75" customHeight="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2.75" customHeight="1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2.75" customHeight="1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2.75" customHeight="1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2.75" customHeight="1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2.75" customHeight="1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2.75" customHeight="1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2.75" customHeight="1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2.75" customHeight="1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2.75" customHeight="1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2.75" customHeight="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2.75" customHeight="1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2.75" customHeight="1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2.75" customHeight="1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2.75" customHeight="1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2.75" customHeight="1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2.75" customHeight="1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2.75" customHeight="1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2.75" customHeight="1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2.75" customHeight="1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2.75" customHeight="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2.75" customHeight="1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2.75" customHeight="1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2.75" customHeight="1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2.75" customHeight="1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2.75" customHeight="1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2.75" customHeight="1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2.75" customHeight="1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2.75" customHeight="1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2.75" customHeight="1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2.75" customHeight="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2.75" customHeight="1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2.75" customHeight="1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2.75" customHeight="1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2.75" customHeight="1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2.75" customHeight="1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2.75" customHeight="1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2.75" customHeight="1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2.75" customHeight="1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2.75" customHeight="1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2.75" customHeight="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2.75" customHeight="1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2.75" customHeight="1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2.75" customHeight="1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2.75" customHeight="1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2.75" customHeight="1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2.75" customHeight="1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2.75" customHeight="1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2.75" customHeight="1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2.75" customHeight="1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2.75" customHeight="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2.75" customHeight="1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2.75" customHeight="1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2.75" customHeight="1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2.75" customHeight="1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2.75" customHeight="1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2.75" customHeight="1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2.75" customHeight="1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2.75" customHeight="1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2.75" customHeight="1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2.75" customHeight="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2.75" customHeight="1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2.75" customHeight="1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2.75" customHeight="1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2.75" customHeight="1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2.75" customHeight="1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2.75" customHeight="1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2.75" customHeight="1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2.75" customHeight="1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2.75" customHeight="1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2.75" customHeight="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2.75" customHeight="1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2.75" customHeight="1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2.75" customHeight="1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2.75" customHeight="1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2.75" customHeight="1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2.75" customHeight="1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2.75" customHeight="1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2.75" customHeight="1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 spans="1:26" ht="12.75" customHeight="1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mergeCells count="1">
    <mergeCell ref="B11:N11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Jyri-Pekka Multanen</cp:lastModifiedBy>
  <cp:revision/>
  <dcterms:created xsi:type="dcterms:W3CDTF">2024-08-01T17:12:02Z</dcterms:created>
  <dcterms:modified xsi:type="dcterms:W3CDTF">2026-06-08T15:45:13Z</dcterms:modified>
  <cp:category/>
  <cp:contentStatus/>
</cp:coreProperties>
</file>