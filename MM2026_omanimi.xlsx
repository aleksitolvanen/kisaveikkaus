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JPM\Downloads\"/>
    </mc:Choice>
  </mc:AlternateContent>
  <xr:revisionPtr revIDLastSave="0" documentId="8_{0FE527AB-5ECA-4511-A789-5853431892A5}" xr6:coauthVersionLast="47" xr6:coauthVersionMax="47" xr10:uidLastSave="{00000000-0000-0000-0000-000000000000}"/>
  <bookViews>
    <workbookView xWindow="31995" yWindow="1410" windowWidth="21600" windowHeight="11385" tabRatio="612" xr2:uid="{4CA768F8-FF19-4FFD-BEB1-B4E5E858CE4F}"/>
  </bookViews>
  <sheets>
    <sheet name="Tulokset" sheetId="1" r:id="rId1"/>
    <sheet name="Säännöt&amp;Ohjeet" sheetId="29" r:id="rId2"/>
    <sheet name="Pistetilanne" sheetId="28" r:id="rId3"/>
    <sheet name="Veikkaajien tilastot" sheetId="3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6" i="1" l="1"/>
  <c r="E125" i="1"/>
  <c r="E128" i="1"/>
  <c r="E121" i="1"/>
  <c r="E122" i="1"/>
  <c r="E123" i="1"/>
  <c r="E120" i="1"/>
  <c r="E112" i="1"/>
  <c r="E113" i="1"/>
  <c r="E114" i="1"/>
  <c r="E115" i="1"/>
  <c r="E116" i="1"/>
  <c r="E117" i="1"/>
  <c r="E118" i="1"/>
  <c r="E111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1" i="1"/>
  <c r="E88" i="1"/>
  <c r="E87" i="1"/>
  <c r="E86" i="1"/>
  <c r="E85" i="1"/>
  <c r="E84" i="1"/>
  <c r="E83" i="1"/>
  <c r="E81" i="1"/>
  <c r="E80" i="1"/>
  <c r="E79" i="1"/>
  <c r="E78" i="1"/>
  <c r="E77" i="1"/>
  <c r="E76" i="1"/>
  <c r="E74" i="1"/>
  <c r="E73" i="1"/>
  <c r="E72" i="1"/>
  <c r="E71" i="1"/>
  <c r="E70" i="1"/>
  <c r="E69" i="1"/>
  <c r="E67" i="1"/>
  <c r="E66" i="1"/>
  <c r="E65" i="1"/>
  <c r="E64" i="1"/>
  <c r="E63" i="1"/>
  <c r="E62" i="1"/>
  <c r="E60" i="1"/>
  <c r="E59" i="1"/>
  <c r="E58" i="1"/>
  <c r="E57" i="1"/>
  <c r="E56" i="1"/>
  <c r="E55" i="1"/>
  <c r="E53" i="1"/>
  <c r="E52" i="1"/>
  <c r="E51" i="1"/>
  <c r="E50" i="1"/>
  <c r="E49" i="1"/>
  <c r="E48" i="1"/>
  <c r="E46" i="1"/>
  <c r="E45" i="1"/>
  <c r="E44" i="1"/>
  <c r="E43" i="1"/>
  <c r="E42" i="1"/>
  <c r="E41" i="1"/>
  <c r="G4" i="28"/>
  <c r="F4" i="28"/>
  <c r="E4" i="28"/>
  <c r="D4" i="28"/>
  <c r="F22" i="29"/>
  <c r="F25" i="29" s="1"/>
  <c r="C3" i="28"/>
  <c r="E39" i="1"/>
  <c r="E38" i="1"/>
  <c r="E37" i="1"/>
  <c r="E36" i="1"/>
  <c r="E35" i="1"/>
  <c r="E34" i="1"/>
  <c r="E32" i="1"/>
  <c r="E31" i="1"/>
  <c r="E30" i="1"/>
  <c r="E29" i="1"/>
  <c r="E28" i="1"/>
  <c r="E27" i="1"/>
  <c r="E25" i="1"/>
  <c r="E24" i="1"/>
  <c r="E23" i="1"/>
  <c r="E22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129" i="1" l="1"/>
  <c r="F23" i="29"/>
  <c r="F24" i="29"/>
  <c r="E131" i="1" l="1"/>
  <c r="C4" i="28" s="1"/>
  <c r="R3" i="28" s="1"/>
  <c r="S3" i="28" l="1"/>
</calcChain>
</file>

<file path=xl/sharedStrings.xml><?xml version="1.0" encoding="utf-8"?>
<sst xmlns="http://schemas.openxmlformats.org/spreadsheetml/2006/main" count="289" uniqueCount="227">
  <si>
    <t>OTTELU</t>
  </si>
  <si>
    <t>TULOS</t>
  </si>
  <si>
    <t>omanimi
tähän</t>
  </si>
  <si>
    <t>p</t>
  </si>
  <si>
    <t>Otteluohjelma laadittu Chat GPT:llä, ajankohdissa virheitä</t>
  </si>
  <si>
    <t>Omat veikkaukset tähän sarak-
keeseen</t>
  </si>
  <si>
    <t>Lohkovaihe</t>
  </si>
  <si>
    <t xml:space="preserve"> LOHKO A</t>
  </si>
  <si>
    <t>to 11.6 klo 19:00</t>
  </si>
  <si>
    <t>MEX-RSA</t>
  </si>
  <si>
    <t>to 11.6 klo 22:00</t>
  </si>
  <si>
    <t>KOR-CZE</t>
  </si>
  <si>
    <t>2-1</t>
  </si>
  <si>
    <t>ti 16.6 klo 21:00</t>
  </si>
  <si>
    <t>MEX-KOR</t>
  </si>
  <si>
    <t>0-2</t>
  </si>
  <si>
    <t>1-2</t>
  </si>
  <si>
    <t>ti 16.6 klo 00:00</t>
  </si>
  <si>
    <t>CZE-RSA</t>
  </si>
  <si>
    <t>1-0</t>
  </si>
  <si>
    <t>0-0</t>
  </si>
  <si>
    <t>su 21.6 klo 18:00</t>
  </si>
  <si>
    <t>RSA-KOR</t>
  </si>
  <si>
    <t>jne</t>
  </si>
  <si>
    <t>CZE-MEX</t>
  </si>
  <si>
    <t>LOHKO B</t>
  </si>
  <si>
    <t>pe 12.6 klo 19:00</t>
  </si>
  <si>
    <t>CAN-BIH</t>
  </si>
  <si>
    <t>pe 12.6 klo 22:00</t>
  </si>
  <si>
    <t>QAT-SUI</t>
  </si>
  <si>
    <t>ke 17.6 klo 21:00</t>
  </si>
  <si>
    <t>CAN-QAT</t>
  </si>
  <si>
    <t>ke 17.6 klo 00:00</t>
  </si>
  <si>
    <t>SUI-BIH</t>
  </si>
  <si>
    <t>ma 22.6 klo 21:00</t>
  </si>
  <si>
    <t>SUI-CAN</t>
  </si>
  <si>
    <t>BIH-QAT</t>
  </si>
  <si>
    <t>LOHKO C</t>
  </si>
  <si>
    <t>la 13.6 klo 19:00</t>
  </si>
  <si>
    <t>BRA-MAR</t>
  </si>
  <si>
    <t>la 13.6 klo 22:00</t>
  </si>
  <si>
    <t>HAI-SCO</t>
  </si>
  <si>
    <t>to 18.6 klo 21:00</t>
  </si>
  <si>
    <t>SCO-MAR</t>
  </si>
  <si>
    <t>BRA-HAI</t>
  </si>
  <si>
    <t>ti 23.6 klo 21:00</t>
  </si>
  <si>
    <t>SCO-BRA</t>
  </si>
  <si>
    <t>MAR-HAI</t>
  </si>
  <si>
    <t>LOHKO D</t>
  </si>
  <si>
    <t>USA-PAR</t>
  </si>
  <si>
    <t>AUS-TUR</t>
  </si>
  <si>
    <t>USA-AUS</t>
  </si>
  <si>
    <t>TUR-PAR</t>
  </si>
  <si>
    <t>TUR-USA</t>
  </si>
  <si>
    <t>PAR-AUS</t>
  </si>
  <si>
    <t>LOHKO E</t>
  </si>
  <si>
    <t>GER-CUR</t>
  </si>
  <si>
    <t>ICV-ECU</t>
  </si>
  <si>
    <t>GER-ICV</t>
  </si>
  <si>
    <t>ECU-CUR</t>
  </si>
  <si>
    <t>CUR-ICV</t>
  </si>
  <si>
    <t>ECU-GER</t>
  </si>
  <si>
    <t>LOHKO F</t>
  </si>
  <si>
    <t>su 14.6 klo 18:00</t>
  </si>
  <si>
    <t>NED-JPN</t>
  </si>
  <si>
    <t>su 14.6 klo 21:00</t>
  </si>
  <si>
    <t>SWE-TUN</t>
  </si>
  <si>
    <t>NED-SWE</t>
  </si>
  <si>
    <t>TUN-JPN</t>
  </si>
  <si>
    <t>JPN-SWE</t>
  </si>
  <si>
    <t>TUN-NED</t>
  </si>
  <si>
    <t>LOHKO G</t>
  </si>
  <si>
    <t>BEL-EGY</t>
  </si>
  <si>
    <t>IRN-NZL</t>
  </si>
  <si>
    <t>BEL-IRN</t>
  </si>
  <si>
    <t>NZL-EGY</t>
  </si>
  <si>
    <t>EGY-IRN</t>
  </si>
  <si>
    <t>NZL-BEL</t>
  </si>
  <si>
    <t>LOHKO H</t>
  </si>
  <si>
    <t>ma 15.6 klo 19:00</t>
  </si>
  <si>
    <t>ESP-CPV</t>
  </si>
  <si>
    <t>ma 15.6 klo 22:00</t>
  </si>
  <si>
    <t>KSA-URU</t>
  </si>
  <si>
    <t>pe 19.6 klo 21:00</t>
  </si>
  <si>
    <t>ESP-KSA</t>
  </si>
  <si>
    <t>URU-CPV</t>
  </si>
  <si>
    <t>ke 24.6 klo 21:00</t>
  </si>
  <si>
    <t>CPV-KSA</t>
  </si>
  <si>
    <t>URU-ESP</t>
  </si>
  <si>
    <t>LOHKO I</t>
  </si>
  <si>
    <t>FRA-SEN</t>
  </si>
  <si>
    <t>IRQ-NOR</t>
  </si>
  <si>
    <t>FRA-IRQ</t>
  </si>
  <si>
    <t>NOR-SEN</t>
  </si>
  <si>
    <t>NOR-FRA</t>
  </si>
  <si>
    <t>SEN-IRQ</t>
  </si>
  <si>
    <t>LOHKO J</t>
  </si>
  <si>
    <t>ti 16.6 klo 19:00</t>
  </si>
  <si>
    <t>ARG-ALG</t>
  </si>
  <si>
    <t>ti 16.6 klo 22:00</t>
  </si>
  <si>
    <t>AUT-JOR</t>
  </si>
  <si>
    <t>la 20.6 klo 21:00</t>
  </si>
  <si>
    <t>ARG-AUT</t>
  </si>
  <si>
    <t>JOR-ALG</t>
  </si>
  <si>
    <t>to 25.6 klo 21:00</t>
  </si>
  <si>
    <t>ALG-AUT</t>
  </si>
  <si>
    <t>JOR-ARG</t>
  </si>
  <si>
    <t>LOHKO K</t>
  </si>
  <si>
    <t>POR-DRC</t>
  </si>
  <si>
    <t>UZB-COL</t>
  </si>
  <si>
    <t>POR-UZB</t>
  </si>
  <si>
    <t>COL-DRC</t>
  </si>
  <si>
    <t>COL-POR</t>
  </si>
  <si>
    <t>DRC-UZB</t>
  </si>
  <si>
    <t>LOHKO L</t>
  </si>
  <si>
    <t>ke 17.6 klo 19:00</t>
  </si>
  <si>
    <t>ENG-CRO</t>
  </si>
  <si>
    <t>ke 17.6 klo 22:00</t>
  </si>
  <si>
    <t>GHA-PAN</t>
  </si>
  <si>
    <t>su 21.6 klo 21:00</t>
  </si>
  <si>
    <t>ENG-GHA</t>
  </si>
  <si>
    <t>PAN-CRO</t>
  </si>
  <si>
    <t>PAN-ENG</t>
  </si>
  <si>
    <t>CRO-GHA</t>
  </si>
  <si>
    <r>
      <rPr>
        <sz val="11"/>
        <color rgb="FF000000"/>
        <rFont val="Arial"/>
      </rPr>
      <t xml:space="preserve">Veikkaa lohkovaiheen sikajengiä oikealle (8p).
</t>
    </r>
    <r>
      <rPr>
        <sz val="9"/>
        <color rgb="FF000000"/>
        <rFont val="Arial"/>
      </rPr>
      <t>(ks. säännöt-välilehti)</t>
    </r>
  </si>
  <si>
    <t>GER</t>
  </si>
  <si>
    <t>Lohkovaiheen pisteet yhteensä</t>
  </si>
  <si>
    <t>CUP-Vaihe</t>
  </si>
  <si>
    <t>1/16</t>
  </si>
  <si>
    <t>16 joukkoon (2p)</t>
  </si>
  <si>
    <t>Syötä omat veikkaukset jatkoon päässeistä maista oikealle, missä tahansa järjestyksessä . 
Tähän tulevat oikeat tulokset</t>
  </si>
  <si>
    <t>1/8</t>
  </si>
  <si>
    <t>Puolivälieriin (4p)</t>
  </si>
  <si>
    <t>1/4</t>
  </si>
  <si>
    <t>Välieriin (8p)</t>
  </si>
  <si>
    <t>1/2</t>
  </si>
  <si>
    <t>Finaaliin (15p)</t>
  </si>
  <si>
    <t>1/1</t>
  </si>
  <si>
    <t>Mestari (30p)</t>
  </si>
  <si>
    <t>Maailman Mestari</t>
  </si>
  <si>
    <t>CUP-Vaiheen pisteet yhteensä</t>
  </si>
  <si>
    <t>Maalintekijä: Veikkaa oikealle yhtä maalintekijää. Saat 1p per hänen tekemänsä maalit koko turnauksessa, pois lukien rankkarikisat.</t>
  </si>
  <si>
    <t>Lohkovaiheen, CUP-Vaiheen ja Maalintekijäpisteet yhteensä</t>
  </si>
  <si>
    <t>OSALLISTUMINEN</t>
  </si>
  <si>
    <t>1. Ilmoittautuminen: Ke 10.6. klo 16.00 mennessä --&gt; 30 EUR maksettu Mobile Pay 0458500205 tai tilisiirto FI28 4405 0010 3120 42</t>
  </si>
  <si>
    <t xml:space="preserve">2. Ke 10.6. klo 23:59 mennessä oman täytetyn Excelin toimittaminen Jypelle (upload OneDrive-kansioon tai Email jype.multanen@gmail.com </t>
  </si>
  <si>
    <t xml:space="preserve">Pisteet: </t>
  </si>
  <si>
    <t>1. Lohkovaihe</t>
  </si>
  <si>
    <t>- Oikea tulos = 3p</t>
  </si>
  <si>
    <t>- Väärä tulos, mutta voittaja tai tasapeli veikattu oikein = 1p</t>
  </si>
  <si>
    <t>- Väärä veikkaus (ei auta vaikka vain toisen joukkueen maalit olisi oikein) = 0 p</t>
  </si>
  <si>
    <t>2. Lohkovaiheen sikajengi (8p)</t>
  </si>
  <si>
    <t>Lohkovaiheessa eniten keltaisia ja punaisia kortteja saanut joukkue. Lasketaan niin että lohkopeleissä keltaisista korteista 1 p, kahdesta keltaisesta tullut punainen 2 p ja suora punainen 3 p. Tulos katsotaan UEFA:n tilastosta, jos ristiriitoja. Jos useammalla joukkueella sama määrä, niin kaikille oikeille veikanneille 4 pistettä.</t>
  </si>
  <si>
    <t xml:space="preserve">3. Maalintekijä (1p per maali). </t>
  </si>
  <si>
    <t>Saat veikata tähän ketä tahansa yhtä pelaajaa. Saat 1 p per tämän pelaajan koko kisoissa tekemä maali.</t>
  </si>
  <si>
    <t>4. Cup-vaihe</t>
  </si>
  <si>
    <t>- 16 parhaan joukkoon = 2p per joukkue</t>
  </si>
  <si>
    <t>- 8 parhaan joukkoon = 4p per joukkue</t>
  </si>
  <si>
    <t>- Välieriin pääsevät joukkueet = 8p per joukkue</t>
  </si>
  <si>
    <t>- Finaaliin päässeet joukkueet = 15p lisää per joukkue</t>
  </si>
  <si>
    <t>- Finaalin voittaja = 30p lisää.</t>
  </si>
  <si>
    <t>Voitonjako</t>
  </si>
  <si>
    <t>pelaajaa</t>
  </si>
  <si>
    <t>panos/hlö</t>
  </si>
  <si>
    <t>POTTI</t>
  </si>
  <si>
    <t>15</t>
  </si>
  <si>
    <t>30</t>
  </si>
  <si>
    <t>1. = 70%</t>
  </si>
  <si>
    <t>2. = 20%</t>
  </si>
  <si>
    <t>3. = 10%</t>
  </si>
  <si>
    <t xml:space="preserve">Tasatilanteessa osuus jaetaan tasan olevien pelaajien kesken. </t>
  </si>
  <si>
    <t>Esim: Kaksi pelaajaa jaetulla ykkössijalla: Molemmat saavat (70+20)/2 = 45%. Seuraavaksi paras 10% tai jos useampia jaetaan heidän kesken.</t>
  </si>
  <si>
    <t>Esim: Kolme tai useampi pelaaja jaetulla ykkössijalla: Koko potti jaetaan näiden kesken.</t>
  </si>
  <si>
    <t>Esim: Yksi voittaja, kaksi tai useampi pelaaja jaetulla kakkossijalla. Voittajalle 70%, kakkossijan jakajille jaetaan loppuosa 30%, eli 15% kummallekin.</t>
  </si>
  <si>
    <t>Kehitysideoita saa laittaa alle</t>
  </si>
  <si>
    <t>KA</t>
  </si>
  <si>
    <t>Keskih</t>
  </si>
  <si>
    <t>=Tulokset!F2</t>
  </si>
  <si>
    <t>=Tulokset!H2</t>
  </si>
  <si>
    <t>=Tulokset!J2</t>
  </si>
  <si>
    <t>=Tulokset!L2</t>
  </si>
  <si>
    <t>EM 2004 Portugal
1. GRE
2. POR</t>
  </si>
  <si>
    <t>MM 2006 Germany
1. ITA
2. FRA
3. GER</t>
  </si>
  <si>
    <t>EM 2008 AUS/SWI
1. SPA
2. GER</t>
  </si>
  <si>
    <t>MM 2010 S-Africa
1. SPA
2. NED
3. GER</t>
  </si>
  <si>
    <t>EM 2012 POL/UKR
1. SPA
2. ITA</t>
  </si>
  <si>
    <t>MM 2014 Brazil
1. GER
2. ARG
3. NED</t>
  </si>
  <si>
    <t>EM 2016 France
1. POR
2. FRA</t>
  </si>
  <si>
    <t>MM 2018 Russia
1. FRA
2. CRO
3. BEL</t>
  </si>
  <si>
    <t xml:space="preserve">EM 2020 
1. ITA
2. ENG
</t>
  </si>
  <si>
    <t>MM 2022</t>
  </si>
  <si>
    <t>EM 2024 Germany</t>
  </si>
  <si>
    <t>Osallistujia</t>
  </si>
  <si>
    <t>Ei</t>
  </si>
  <si>
    <t>Voittaja</t>
  </si>
  <si>
    <t>LariL</t>
  </si>
  <si>
    <t>Pele</t>
  </si>
  <si>
    <t>Tarhonen</t>
  </si>
  <si>
    <t>veikkausta</t>
  </si>
  <si>
    <t>Ville/Tolvanen</t>
  </si>
  <si>
    <t>Jype</t>
  </si>
  <si>
    <t>Jukka</t>
  </si>
  <si>
    <t>Kakkonen</t>
  </si>
  <si>
    <t>Kimmo/Hannu</t>
  </si>
  <si>
    <t>Kapa</t>
  </si>
  <si>
    <t>Aki</t>
  </si>
  <si>
    <t>Jere</t>
  </si>
  <si>
    <t>KimmoK</t>
  </si>
  <si>
    <t>Pete</t>
  </si>
  <si>
    <t>Kolmonen</t>
  </si>
  <si>
    <t>TimoS</t>
  </si>
  <si>
    <t>Tommi/Ile/Wade/Pele</t>
  </si>
  <si>
    <t>J.Saimen</t>
  </si>
  <si>
    <t>Saku</t>
  </si>
  <si>
    <t>Karri</t>
  </si>
  <si>
    <t>Voitot</t>
  </si>
  <si>
    <t>2. sijat</t>
  </si>
  <si>
    <t>3. sijat</t>
  </si>
  <si>
    <t>JukkaM</t>
  </si>
  <si>
    <t>Villarineste</t>
  </si>
  <si>
    <t>Tolvanen</t>
  </si>
  <si>
    <t>HannuM</t>
  </si>
  <si>
    <t>AkiK</t>
  </si>
  <si>
    <t>Jermupisto</t>
  </si>
  <si>
    <t>PeteM</t>
  </si>
  <si>
    <t>TommiT</t>
  </si>
  <si>
    <t>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</si>
</sst>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1"/>
      <color rgb="FF000000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49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8"/>
      </right>
      <top/>
      <bottom style="double">
        <color indexed="64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double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49" fontId="0" fillId="0" borderId="0" xfId="0" applyNumberFormat="1" applyAlignment="1">
      <alignment horizontal="center"/>
    </xf>
    <xf numFmtId="0" fontId="1" fillId="0" borderId="0" xfId="0" applyFont="1"/>
    <xf numFmtId="0" fontId="0" fillId="0" borderId="2" xfId="0" applyBorder="1"/>
    <xf numFmtId="49" fontId="0" fillId="0" borderId="0" xfId="0" applyNumberFormat="1"/>
    <xf numFmtId="49" fontId="1" fillId="0" borderId="0" xfId="0" applyNumberFormat="1" applyFont="1"/>
    <xf numFmtId="0" fontId="0" fillId="0" borderId="3" xfId="0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justify"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49" fontId="3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" fontId="5" fillId="6" borderId="0" xfId="0" quotePrefix="1" applyNumberFormat="1" applyFont="1" applyFill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0" fillId="0" borderId="12" xfId="0" applyBorder="1"/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1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justify" wrapText="1"/>
    </xf>
    <xf numFmtId="49" fontId="3" fillId="0" borderId="0" xfId="0" quotePrefix="1" applyNumberFormat="1" applyFont="1"/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wrapText="1"/>
    </xf>
    <xf numFmtId="2" fontId="0" fillId="0" borderId="0" xfId="0" applyNumberFormat="1"/>
    <xf numFmtId="0" fontId="0" fillId="0" borderId="6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49" fontId="2" fillId="0" borderId="16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3" fillId="0" borderId="19" xfId="0" applyFont="1" applyBorder="1"/>
    <xf numFmtId="49" fontId="3" fillId="0" borderId="19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22" xfId="0" applyFont="1" applyBorder="1" applyAlignment="1">
      <alignment vertical="center" wrapText="1"/>
    </xf>
    <xf numFmtId="49" fontId="5" fillId="6" borderId="22" xfId="0" quotePrefix="1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23" xfId="0" applyBorder="1"/>
    <xf numFmtId="0" fontId="9" fillId="0" borderId="16" xfId="0" applyFont="1" applyBorder="1" applyAlignment="1">
      <alignment vertical="center" wrapText="1"/>
    </xf>
    <xf numFmtId="1" fontId="4" fillId="0" borderId="8" xfId="0" applyNumberFormat="1" applyFon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49" fontId="5" fillId="6" borderId="26" xfId="0" quotePrefix="1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" fontId="2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49" fontId="3" fillId="6" borderId="12" xfId="0" applyNumberFormat="1" applyFont="1" applyFill="1" applyBorder="1" applyAlignment="1">
      <alignment horizontal="center"/>
    </xf>
    <xf numFmtId="49" fontId="3" fillId="6" borderId="11" xfId="0" applyNumberFormat="1" applyFont="1" applyFill="1" applyBorder="1" applyAlignment="1">
      <alignment horizontal="center"/>
    </xf>
    <xf numFmtId="49" fontId="3" fillId="6" borderId="26" xfId="0" applyNumberFormat="1" applyFont="1" applyFill="1" applyBorder="1" applyAlignment="1">
      <alignment horizontal="center"/>
    </xf>
    <xf numFmtId="49" fontId="3" fillId="6" borderId="27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49" fontId="3" fillId="0" borderId="24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</cellXfs>
  <cellStyles count="2">
    <cellStyle name="Normaali" xfId="0" builtinId="0"/>
    <cellStyle name="Normal 2" xfId="1" xr:uid="{8C8E62BC-3616-40B9-8E41-C80D63A27F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396111113476956E-2"/>
          <c:y val="2.1913043478260869E-2"/>
          <c:w val="0.94367167327448065"/>
          <c:h val="0.84002752180502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Pistetilanne!$C$3:$Q$3</c:f>
              <c:strCache>
                <c:ptCount val="5"/>
                <c:pt idx="0">
                  <c:v>omanimi
tähän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Pistetilanne!$C$3:$Q$3</c:f>
              <c:numCache>
                <c:formatCode>@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A-4EF8-8819-B1E3AADE0BC7}"/>
            </c:ext>
          </c:extLst>
        </c:ser>
        <c:ser>
          <c:idx val="1"/>
          <c:order val="1"/>
          <c:spPr>
            <a:solidFill>
              <a:srgbClr val="0070C0"/>
            </a:solidFill>
          </c:spPr>
          <c:invertIfNegative val="0"/>
          <c:cat>
            <c:strRef>
              <c:f>Pistetilanne!$C$3:$Q$3</c:f>
              <c:strCache>
                <c:ptCount val="5"/>
                <c:pt idx="0">
                  <c:v>omanimi
tähän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Pistetilanne!$C$4:$Q$4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A-4EF8-8819-B1E3AADE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127279"/>
        <c:axId val="1"/>
      </c:barChart>
      <c:catAx>
        <c:axId val="110712727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effectLst>
            <a:softEdge rad="76200"/>
          </a:effectLst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FI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47625" cmpd="sng">
            <a:noFill/>
          </a:ln>
          <a:effectLst>
            <a:glow rad="127000">
              <a:schemeClr val="accent1">
                <a:alpha val="96000"/>
              </a:schemeClr>
            </a:glow>
          </a:effectLst>
        </c:spPr>
        <c:crossAx val="1107127279"/>
        <c:crosses val="autoZero"/>
        <c:crossBetween val="between"/>
        <c:majorUnit val="5"/>
      </c:valAx>
      <c:spPr>
        <a:gradFill>
          <a:gsLst>
            <a:gs pos="98000">
              <a:schemeClr val="tx2">
                <a:lumMod val="50000"/>
              </a:schemeClr>
            </a:gs>
            <a:gs pos="42000">
              <a:schemeClr val="accent1">
                <a:lumMod val="45000"/>
                <a:lumOff val="5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0">
              <a:schemeClr val="accent1">
                <a:lumMod val="30000"/>
                <a:lumOff val="70000"/>
              </a:schemeClr>
            </a:gs>
          </a:gsLst>
          <a:lin ang="16200000" scaled="1"/>
        </a:gradFill>
        <a:ln w="31750" cmpd="thickThin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34925">
      <a:solidFill>
        <a:schemeClr val="tx1"/>
      </a:solidFill>
    </a:ln>
  </c:spPr>
  <c:txPr>
    <a:bodyPr/>
    <a:lstStyle/>
    <a:p>
      <a:pPr>
        <a:defRPr sz="2000">
          <a:ln>
            <a:noFill/>
          </a:ln>
          <a:solidFill>
            <a:schemeClr val="tx1"/>
          </a:solidFill>
          <a:effectLst>
            <a:reflection blurRad="63500" stA="45000" endPos="65000" dist="50800" dir="5400000" sy="-100000" algn="bl" rotWithShape="0"/>
          </a:effectLst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1" name="AutoShape 1" descr="Image result for france flag">
          <a:extLst>
            <a:ext uri="{FF2B5EF4-FFF2-40B4-BE49-F238E27FC236}">
              <a16:creationId xmlns:a16="http://schemas.microsoft.com/office/drawing/2014/main" id="{49CC124B-53D0-BD3E-C83C-3B7FBBA5081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2" name="AutoShape 50" descr="Image result for northern ireland flag">
          <a:extLst>
            <a:ext uri="{FF2B5EF4-FFF2-40B4-BE49-F238E27FC236}">
              <a16:creationId xmlns:a16="http://schemas.microsoft.com/office/drawing/2014/main" id="{638CCF88-01E5-0970-ABA7-48C024053F1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3" name="AutoShape 1" descr="Image result for france flag">
          <a:extLst>
            <a:ext uri="{FF2B5EF4-FFF2-40B4-BE49-F238E27FC236}">
              <a16:creationId xmlns:a16="http://schemas.microsoft.com/office/drawing/2014/main" id="{BB14622B-C927-D338-AEB2-7B80F36B348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4" name="AutoShape 50" descr="Image result for northern ireland flag">
          <a:extLst>
            <a:ext uri="{FF2B5EF4-FFF2-40B4-BE49-F238E27FC236}">
              <a16:creationId xmlns:a16="http://schemas.microsoft.com/office/drawing/2014/main" id="{E627CB8A-D70A-1493-FE93-1D4D97B0C3A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5" name="AutoShape 1" descr="Image result for france flag">
          <a:extLst>
            <a:ext uri="{FF2B5EF4-FFF2-40B4-BE49-F238E27FC236}">
              <a16:creationId xmlns:a16="http://schemas.microsoft.com/office/drawing/2014/main" id="{84970B76-E7B9-F382-289D-DD4B155781C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6" name="AutoShape 50" descr="Image result for northern ireland flag">
          <a:extLst>
            <a:ext uri="{FF2B5EF4-FFF2-40B4-BE49-F238E27FC236}">
              <a16:creationId xmlns:a16="http://schemas.microsoft.com/office/drawing/2014/main" id="{CBB09EBB-D7CB-FEC3-4E25-B5991A2440F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7" name="AutoShape 1" descr="Image result for france flag">
          <a:extLst>
            <a:ext uri="{FF2B5EF4-FFF2-40B4-BE49-F238E27FC236}">
              <a16:creationId xmlns:a16="http://schemas.microsoft.com/office/drawing/2014/main" id="{4F2BAC23-1ABC-F580-A11A-76BF06884171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8" name="AutoShape 50" descr="Image result for northern ireland flag">
          <a:extLst>
            <a:ext uri="{FF2B5EF4-FFF2-40B4-BE49-F238E27FC236}">
              <a16:creationId xmlns:a16="http://schemas.microsoft.com/office/drawing/2014/main" id="{DD969BC5-310D-708C-5E8C-CA72DD8F6FF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9" name="AutoShape 1" descr="Image result for france flag">
          <a:extLst>
            <a:ext uri="{FF2B5EF4-FFF2-40B4-BE49-F238E27FC236}">
              <a16:creationId xmlns:a16="http://schemas.microsoft.com/office/drawing/2014/main" id="{66E5B936-9CD5-9C0E-D3E6-70D07B4714F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0" name="AutoShape 50" descr="Image result for northern ireland flag">
          <a:extLst>
            <a:ext uri="{FF2B5EF4-FFF2-40B4-BE49-F238E27FC236}">
              <a16:creationId xmlns:a16="http://schemas.microsoft.com/office/drawing/2014/main" id="{951CF8DD-FA7A-940F-0FA6-1BCB254CF9A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1" name="AutoShape 1" descr="Image result for france flag">
          <a:extLst>
            <a:ext uri="{FF2B5EF4-FFF2-40B4-BE49-F238E27FC236}">
              <a16:creationId xmlns:a16="http://schemas.microsoft.com/office/drawing/2014/main" id="{A034EB69-B875-F572-2DE7-794E03B3551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2" name="AutoShape 50" descr="Image result for northern ireland flag">
          <a:extLst>
            <a:ext uri="{FF2B5EF4-FFF2-40B4-BE49-F238E27FC236}">
              <a16:creationId xmlns:a16="http://schemas.microsoft.com/office/drawing/2014/main" id="{A1DB82E6-8353-1F0E-FAF7-2ACF9DB1F16E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3" name="AutoShape 1" descr="Image result for france flag">
          <a:extLst>
            <a:ext uri="{FF2B5EF4-FFF2-40B4-BE49-F238E27FC236}">
              <a16:creationId xmlns:a16="http://schemas.microsoft.com/office/drawing/2014/main" id="{C107145F-C2CD-8D7F-BDA7-DA3C4D1EE60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4" name="AutoShape 50" descr="Image result for northern ireland flag">
          <a:extLst>
            <a:ext uri="{FF2B5EF4-FFF2-40B4-BE49-F238E27FC236}">
              <a16:creationId xmlns:a16="http://schemas.microsoft.com/office/drawing/2014/main" id="{8AC9897A-4B57-F7DB-4F12-86B6F6C806D0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5" name="AutoShape 1" descr="Image result for france flag">
          <a:extLst>
            <a:ext uri="{FF2B5EF4-FFF2-40B4-BE49-F238E27FC236}">
              <a16:creationId xmlns:a16="http://schemas.microsoft.com/office/drawing/2014/main" id="{F18FB5CC-A7DD-3BDD-9E94-773F011C74F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6" name="AutoShape 50" descr="Image result for northern ireland flag">
          <a:extLst>
            <a:ext uri="{FF2B5EF4-FFF2-40B4-BE49-F238E27FC236}">
              <a16:creationId xmlns:a16="http://schemas.microsoft.com/office/drawing/2014/main" id="{FDB72BC6-B529-F84B-046E-CBB0504FEEB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7" name="AutoShape 1" descr="Image result for france flag">
          <a:extLst>
            <a:ext uri="{FF2B5EF4-FFF2-40B4-BE49-F238E27FC236}">
              <a16:creationId xmlns:a16="http://schemas.microsoft.com/office/drawing/2014/main" id="{B385CCF6-749A-9FE9-915B-88A7C0F1313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57150</xdr:rowOff>
    </xdr:from>
    <xdr:to>
      <xdr:col>5</xdr:col>
      <xdr:colOff>304800</xdr:colOff>
      <xdr:row>22</xdr:row>
      <xdr:rowOff>38100</xdr:rowOff>
    </xdr:to>
    <xdr:sp macro="" textlink="">
      <xdr:nvSpPr>
        <xdr:cNvPr id="532858" name="AutoShape 50" descr="Image result for northern ireland flag">
          <a:extLst>
            <a:ext uri="{FF2B5EF4-FFF2-40B4-BE49-F238E27FC236}">
              <a16:creationId xmlns:a16="http://schemas.microsoft.com/office/drawing/2014/main" id="{A91E1AA6-AB02-27A7-E11B-BA94F3961AE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62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9" name="AutoShape 1" descr="Image result for france flag">
          <a:extLst>
            <a:ext uri="{FF2B5EF4-FFF2-40B4-BE49-F238E27FC236}">
              <a16:creationId xmlns:a16="http://schemas.microsoft.com/office/drawing/2014/main" id="{6D51047C-2A4F-5209-F5FF-8A67976861C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0" name="AutoShape 50" descr="Image result for northern ireland flag">
          <a:extLst>
            <a:ext uri="{FF2B5EF4-FFF2-40B4-BE49-F238E27FC236}">
              <a16:creationId xmlns:a16="http://schemas.microsoft.com/office/drawing/2014/main" id="{C3106201-67EA-08D6-9151-1E19B0EF6E5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1" name="AutoShape 1" descr="Image result for france flag">
          <a:extLst>
            <a:ext uri="{FF2B5EF4-FFF2-40B4-BE49-F238E27FC236}">
              <a16:creationId xmlns:a16="http://schemas.microsoft.com/office/drawing/2014/main" id="{B04DBDAC-4CF8-0D7D-49C0-28FEE157261C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2" name="AutoShape 50" descr="Image result for northern ireland flag">
          <a:extLst>
            <a:ext uri="{FF2B5EF4-FFF2-40B4-BE49-F238E27FC236}">
              <a16:creationId xmlns:a16="http://schemas.microsoft.com/office/drawing/2014/main" id="{7E4EDDA7-24F5-36A6-8C94-E3B6CEA0A56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3" name="AutoShape 1" descr="Image result for france flag">
          <a:extLst>
            <a:ext uri="{FF2B5EF4-FFF2-40B4-BE49-F238E27FC236}">
              <a16:creationId xmlns:a16="http://schemas.microsoft.com/office/drawing/2014/main" id="{0945CC78-1A3A-05AF-E008-656868CE416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4" name="AutoShape 50" descr="Image result for northern ireland flag">
          <a:extLst>
            <a:ext uri="{FF2B5EF4-FFF2-40B4-BE49-F238E27FC236}">
              <a16:creationId xmlns:a16="http://schemas.microsoft.com/office/drawing/2014/main" id="{A707AFA5-10CA-29DF-F368-14E18DB317B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63500</xdr:rowOff>
    </xdr:from>
    <xdr:to>
      <xdr:col>17</xdr:col>
      <xdr:colOff>411443</xdr:colOff>
      <xdr:row>56</xdr:row>
      <xdr:rowOff>127560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36A9D-8FE5-4FF9-8E75-55390A19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12D3-1B6C-4BC2-B827-86F537404ECE}">
  <sheetPr>
    <tabColor rgb="FF00B0F0"/>
  </sheetPr>
  <dimension ref="A1:E242"/>
  <sheetViews>
    <sheetView tabSelected="1" zoomScale="70" zoomScaleNormal="70" workbookViewId="0">
      <pane ySplit="2" topLeftCell="A120" activePane="bottomLeft" state="frozen"/>
      <selection pane="bottomLeft" activeCell="C53" sqref="C53"/>
    </sheetView>
  </sheetViews>
  <sheetFormatPr defaultRowHeight="12.75"/>
  <cols>
    <col min="1" max="1" width="15" style="6" bestFit="1" customWidth="1"/>
    <col min="2" max="2" width="12.42578125" bestFit="1" customWidth="1"/>
    <col min="3" max="3" width="11.28515625" style="1" customWidth="1"/>
    <col min="4" max="4" width="11.140625" style="2" customWidth="1"/>
    <col min="5" max="5" width="15.85546875" style="3" customWidth="1"/>
  </cols>
  <sheetData>
    <row r="1" spans="1:5" ht="12" customHeight="1">
      <c r="A1"/>
      <c r="D1" s="5"/>
      <c r="E1"/>
    </row>
    <row r="2" spans="1:5" s="60" customFormat="1" ht="51.75" customHeight="1">
      <c r="A2" s="82" t="s">
        <v>0</v>
      </c>
      <c r="B2" s="83"/>
      <c r="C2" s="43" t="s">
        <v>1</v>
      </c>
      <c r="D2" s="44" t="s">
        <v>2</v>
      </c>
      <c r="E2" s="45" t="s">
        <v>3</v>
      </c>
    </row>
    <row r="3" spans="1:5" s="41" customFormat="1" ht="69.75" customHeight="1">
      <c r="A3" s="80" t="s">
        <v>4</v>
      </c>
      <c r="B3" s="69"/>
      <c r="C3" s="40"/>
      <c r="D3" s="70" t="s">
        <v>5</v>
      </c>
      <c r="E3" s="73"/>
    </row>
    <row r="4" spans="1:5" s="41" customFormat="1" ht="28.5" customHeight="1">
      <c r="A4" s="86" t="s">
        <v>6</v>
      </c>
      <c r="B4" s="86"/>
      <c r="C4" s="86"/>
      <c r="D4" s="86"/>
      <c r="E4" s="87"/>
    </row>
    <row r="5" spans="1:5" s="29" customFormat="1">
      <c r="A5" s="88" t="s">
        <v>7</v>
      </c>
      <c r="B5" s="88"/>
      <c r="C5" s="88"/>
      <c r="D5" s="88"/>
      <c r="E5" s="89"/>
    </row>
    <row r="6" spans="1:5">
      <c r="A6" t="s">
        <v>8</v>
      </c>
      <c r="B6" s="13" t="s">
        <v>9</v>
      </c>
      <c r="C6" s="46"/>
      <c r="D6" s="46"/>
      <c r="E6" s="31">
        <f t="shared" ref="E6:E11" si="0">IF(EXACT($C6,D6),3,IF($C6=0,0,IF(SIGN((LEFT($C6,1))-(RIGHT($C6,1)))=SIGN((LEFT(D6,1))-(RIGHT(D6,1))),1,0)))</f>
        <v>3</v>
      </c>
    </row>
    <row r="7" spans="1:5">
      <c r="A7" t="s">
        <v>10</v>
      </c>
      <c r="B7" s="13" t="s">
        <v>11</v>
      </c>
      <c r="C7" s="46" t="s">
        <v>12</v>
      </c>
      <c r="D7" s="46" t="s">
        <v>12</v>
      </c>
      <c r="E7" s="31">
        <f t="shared" si="0"/>
        <v>3</v>
      </c>
    </row>
    <row r="8" spans="1:5">
      <c r="A8" t="s">
        <v>13</v>
      </c>
      <c r="B8" s="13" t="s">
        <v>14</v>
      </c>
      <c r="C8" s="46" t="s">
        <v>15</v>
      </c>
      <c r="D8" s="46" t="s">
        <v>16</v>
      </c>
      <c r="E8" s="31">
        <f t="shared" si="0"/>
        <v>1</v>
      </c>
    </row>
    <row r="9" spans="1:5">
      <c r="A9" t="s">
        <v>17</v>
      </c>
      <c r="B9" s="13" t="s">
        <v>18</v>
      </c>
      <c r="C9" s="46" t="s">
        <v>19</v>
      </c>
      <c r="D9" s="46" t="s">
        <v>20</v>
      </c>
      <c r="E9" s="31">
        <f t="shared" si="0"/>
        <v>0</v>
      </c>
    </row>
    <row r="10" spans="1:5">
      <c r="A10" t="s">
        <v>21</v>
      </c>
      <c r="B10" s="13" t="s">
        <v>22</v>
      </c>
      <c r="C10" s="46"/>
      <c r="D10" s="46" t="s">
        <v>23</v>
      </c>
      <c r="E10" s="31">
        <f t="shared" si="0"/>
        <v>0</v>
      </c>
    </row>
    <row r="11" spans="1:5">
      <c r="A11" t="s">
        <v>21</v>
      </c>
      <c r="B11" s="47" t="s">
        <v>24</v>
      </c>
      <c r="C11" s="48"/>
      <c r="D11" s="48"/>
      <c r="E11" s="74">
        <f t="shared" si="0"/>
        <v>3</v>
      </c>
    </row>
    <row r="12" spans="1:5" s="22" customFormat="1">
      <c r="A12" s="90" t="s">
        <v>25</v>
      </c>
      <c r="B12" s="90"/>
      <c r="C12" s="90"/>
      <c r="D12" s="90"/>
      <c r="E12" s="91"/>
    </row>
    <row r="13" spans="1:5">
      <c r="A13" s="30" t="s">
        <v>26</v>
      </c>
      <c r="B13" s="13" t="s">
        <v>27</v>
      </c>
      <c r="C13" s="46"/>
      <c r="D13" s="46"/>
      <c r="E13" s="31">
        <f t="shared" ref="E13:E18" si="1">IF(EXACT($C13,D13),3,IF($C13=0,0,IF(SIGN((LEFT($C13,1))-(RIGHT($C13,1)))=SIGN((LEFT(D13,1))-(RIGHT(D13,1))),1,0)))</f>
        <v>3</v>
      </c>
    </row>
    <row r="14" spans="1:5">
      <c r="A14" s="30" t="s">
        <v>28</v>
      </c>
      <c r="B14" s="13" t="s">
        <v>29</v>
      </c>
      <c r="C14" s="46"/>
      <c r="D14" s="46"/>
      <c r="E14" s="31">
        <f t="shared" si="1"/>
        <v>3</v>
      </c>
    </row>
    <row r="15" spans="1:5">
      <c r="A15" s="30" t="s">
        <v>30</v>
      </c>
      <c r="B15" s="13" t="s">
        <v>31</v>
      </c>
      <c r="C15" s="46"/>
      <c r="D15" s="46"/>
      <c r="E15" s="31">
        <f t="shared" si="1"/>
        <v>3</v>
      </c>
    </row>
    <row r="16" spans="1:5">
      <c r="A16" s="30" t="s">
        <v>32</v>
      </c>
      <c r="B16" s="13" t="s">
        <v>33</v>
      </c>
      <c r="C16" s="46"/>
      <c r="D16" s="46"/>
      <c r="E16" s="31">
        <f t="shared" si="1"/>
        <v>3</v>
      </c>
    </row>
    <row r="17" spans="1:5">
      <c r="A17" s="30" t="s">
        <v>34</v>
      </c>
      <c r="B17" s="13" t="s">
        <v>35</v>
      </c>
      <c r="C17" s="46"/>
      <c r="D17" s="46"/>
      <c r="E17" s="31">
        <f t="shared" si="1"/>
        <v>3</v>
      </c>
    </row>
    <row r="18" spans="1:5">
      <c r="A18" s="30" t="s">
        <v>34</v>
      </c>
      <c r="B18" s="47" t="s">
        <v>36</v>
      </c>
      <c r="C18" s="48"/>
      <c r="D18" s="48"/>
      <c r="E18" s="74">
        <f t="shared" si="1"/>
        <v>3</v>
      </c>
    </row>
    <row r="19" spans="1:5" s="22" customFormat="1">
      <c r="A19" s="90" t="s">
        <v>37</v>
      </c>
      <c r="B19" s="90"/>
      <c r="C19" s="90"/>
      <c r="D19" s="90"/>
      <c r="E19" s="91"/>
    </row>
    <row r="20" spans="1:5">
      <c r="A20" s="30" t="s">
        <v>38</v>
      </c>
      <c r="B20" s="13" t="s">
        <v>39</v>
      </c>
      <c r="C20" s="46"/>
      <c r="D20" s="46"/>
      <c r="E20" s="31">
        <f t="shared" ref="E20:E25" si="2">IF(EXACT($C20,D20),3,IF($C20=0,0,IF(SIGN((LEFT($C20,1))-(RIGHT($C20,1)))=SIGN((LEFT(D20,1))-(RIGHT(D20,1))),1,0)))</f>
        <v>3</v>
      </c>
    </row>
    <row r="21" spans="1:5">
      <c r="A21" s="30" t="s">
        <v>40</v>
      </c>
      <c r="B21" s="13" t="s">
        <v>41</v>
      </c>
      <c r="C21" s="46"/>
      <c r="D21" s="46"/>
      <c r="E21" s="31">
        <f t="shared" si="2"/>
        <v>3</v>
      </c>
    </row>
    <row r="22" spans="1:5">
      <c r="A22" s="30" t="s">
        <v>42</v>
      </c>
      <c r="B22" s="13" t="s">
        <v>43</v>
      </c>
      <c r="C22" s="46"/>
      <c r="D22" s="46"/>
      <c r="E22" s="31">
        <f t="shared" si="2"/>
        <v>3</v>
      </c>
    </row>
    <row r="23" spans="1:5">
      <c r="A23" s="30" t="s">
        <v>42</v>
      </c>
      <c r="B23" s="13" t="s">
        <v>44</v>
      </c>
      <c r="C23" s="46"/>
      <c r="D23" s="46"/>
      <c r="E23" s="31">
        <f t="shared" si="2"/>
        <v>3</v>
      </c>
    </row>
    <row r="24" spans="1:5">
      <c r="A24" s="30" t="s">
        <v>45</v>
      </c>
      <c r="B24" s="13" t="s">
        <v>46</v>
      </c>
      <c r="C24" s="46"/>
      <c r="D24" s="46"/>
      <c r="E24" s="31">
        <f t="shared" si="2"/>
        <v>3</v>
      </c>
    </row>
    <row r="25" spans="1:5">
      <c r="A25" s="30" t="s">
        <v>45</v>
      </c>
      <c r="B25" s="47" t="s">
        <v>47</v>
      </c>
      <c r="C25" s="48"/>
      <c r="D25" s="48"/>
      <c r="E25" s="74">
        <f t="shared" si="2"/>
        <v>3</v>
      </c>
    </row>
    <row r="26" spans="1:5" s="22" customFormat="1">
      <c r="A26" s="90" t="s">
        <v>48</v>
      </c>
      <c r="B26" s="90"/>
      <c r="C26" s="90"/>
      <c r="D26" s="90"/>
      <c r="E26" s="91"/>
    </row>
    <row r="27" spans="1:5">
      <c r="A27" s="30" t="s">
        <v>28</v>
      </c>
      <c r="B27" s="13" t="s">
        <v>49</v>
      </c>
      <c r="C27" s="46"/>
      <c r="D27" s="46"/>
      <c r="E27" s="31">
        <f t="shared" ref="E27:E32" si="3">IF(EXACT($C27,D27),3,IF($C27=0,0,IF(SIGN((LEFT($C27,1))-(RIGHT($C27,1)))=SIGN((LEFT(D27,1))-(RIGHT(D27,1))),1,0)))</f>
        <v>3</v>
      </c>
    </row>
    <row r="28" spans="1:5">
      <c r="A28" s="30" t="s">
        <v>26</v>
      </c>
      <c r="B28" s="13" t="s">
        <v>50</v>
      </c>
      <c r="C28" s="46"/>
      <c r="D28" s="46"/>
      <c r="E28" s="31">
        <f t="shared" si="3"/>
        <v>3</v>
      </c>
    </row>
    <row r="29" spans="1:5">
      <c r="A29" s="30" t="s">
        <v>30</v>
      </c>
      <c r="B29" s="13" t="s">
        <v>51</v>
      </c>
      <c r="C29" s="46"/>
      <c r="D29" s="46"/>
      <c r="E29" s="31">
        <f t="shared" si="3"/>
        <v>3</v>
      </c>
    </row>
    <row r="30" spans="1:5">
      <c r="A30" s="30" t="s">
        <v>30</v>
      </c>
      <c r="B30" s="13" t="s">
        <v>52</v>
      </c>
      <c r="C30" s="46"/>
      <c r="D30" s="46"/>
      <c r="E30" s="31">
        <f t="shared" si="3"/>
        <v>3</v>
      </c>
    </row>
    <row r="31" spans="1:5">
      <c r="A31" s="30" t="s">
        <v>34</v>
      </c>
      <c r="B31" s="13" t="s">
        <v>53</v>
      </c>
      <c r="C31" s="46"/>
      <c r="D31" s="46"/>
      <c r="E31" s="31">
        <f t="shared" si="3"/>
        <v>3</v>
      </c>
    </row>
    <row r="32" spans="1:5">
      <c r="A32" s="30" t="s">
        <v>34</v>
      </c>
      <c r="B32" s="13" t="s">
        <v>54</v>
      </c>
      <c r="C32" s="48"/>
      <c r="D32" s="48"/>
      <c r="E32" s="31">
        <f t="shared" si="3"/>
        <v>3</v>
      </c>
    </row>
    <row r="33" spans="1:5" s="22" customFormat="1">
      <c r="A33" s="90" t="s">
        <v>55</v>
      </c>
      <c r="B33" s="90"/>
      <c r="C33" s="90"/>
      <c r="D33" s="90"/>
      <c r="E33" s="91"/>
    </row>
    <row r="34" spans="1:5">
      <c r="A34" s="30" t="s">
        <v>38</v>
      </c>
      <c r="B34" s="13" t="s">
        <v>56</v>
      </c>
      <c r="C34" s="46"/>
      <c r="D34" s="46"/>
      <c r="E34" s="31">
        <f t="shared" ref="E34:E39" si="4">IF(EXACT($C34,D34),3,IF($C34=0,0,IF(SIGN((LEFT($C34,1))-(RIGHT($C34,1)))=SIGN((LEFT(D34,1))-(RIGHT(D34,1))),1,0)))</f>
        <v>3</v>
      </c>
    </row>
    <row r="35" spans="1:5">
      <c r="A35" s="30" t="s">
        <v>40</v>
      </c>
      <c r="B35" s="13" t="s">
        <v>57</v>
      </c>
      <c r="C35" s="46"/>
      <c r="D35" s="46"/>
      <c r="E35" s="31">
        <f t="shared" si="4"/>
        <v>3</v>
      </c>
    </row>
    <row r="36" spans="1:5">
      <c r="A36" s="30" t="s">
        <v>42</v>
      </c>
      <c r="B36" s="13" t="s">
        <v>58</v>
      </c>
      <c r="C36" s="46"/>
      <c r="D36" s="46"/>
      <c r="E36" s="31">
        <f t="shared" si="4"/>
        <v>3</v>
      </c>
    </row>
    <row r="37" spans="1:5">
      <c r="A37" s="30" t="s">
        <v>42</v>
      </c>
      <c r="B37" s="13" t="s">
        <v>59</v>
      </c>
      <c r="C37" s="46"/>
      <c r="D37" s="46"/>
      <c r="E37" s="31">
        <f t="shared" si="4"/>
        <v>3</v>
      </c>
    </row>
    <row r="38" spans="1:5">
      <c r="A38" s="30" t="s">
        <v>45</v>
      </c>
      <c r="B38" s="13" t="s">
        <v>60</v>
      </c>
      <c r="C38" s="46"/>
      <c r="D38" s="46"/>
      <c r="E38" s="31">
        <f t="shared" si="4"/>
        <v>3</v>
      </c>
    </row>
    <row r="39" spans="1:5">
      <c r="A39" s="30" t="s">
        <v>45</v>
      </c>
      <c r="B39" s="13" t="s">
        <v>61</v>
      </c>
      <c r="C39" s="48"/>
      <c r="D39" s="48"/>
      <c r="E39" s="31">
        <f t="shared" si="4"/>
        <v>3</v>
      </c>
    </row>
    <row r="40" spans="1:5" s="22" customFormat="1">
      <c r="A40" s="90" t="s">
        <v>62</v>
      </c>
      <c r="B40" s="90"/>
      <c r="C40" s="90"/>
      <c r="D40" s="90"/>
      <c r="E40" s="91"/>
    </row>
    <row r="41" spans="1:5">
      <c r="A41" s="30" t="s">
        <v>63</v>
      </c>
      <c r="B41" s="13" t="s">
        <v>64</v>
      </c>
      <c r="C41" s="46"/>
      <c r="D41" s="46"/>
      <c r="E41" s="31">
        <f t="shared" ref="E41:E46" si="5">IF(EXACT($C41,D41),3,IF($C41=0,0,IF(SIGN((LEFT($C41,1))-(RIGHT($C41,1)))=SIGN((LEFT(D41,1))-(RIGHT(D41,1))),1,0)))</f>
        <v>3</v>
      </c>
    </row>
    <row r="42" spans="1:5">
      <c r="A42" s="30" t="s">
        <v>65</v>
      </c>
      <c r="B42" s="13" t="s">
        <v>66</v>
      </c>
      <c r="C42" s="46"/>
      <c r="D42" s="46"/>
      <c r="E42" s="31">
        <f t="shared" si="5"/>
        <v>3</v>
      </c>
    </row>
    <row r="43" spans="1:5">
      <c r="A43" s="30" t="s">
        <v>42</v>
      </c>
      <c r="B43" s="13" t="s">
        <v>67</v>
      </c>
      <c r="C43" s="46"/>
      <c r="D43" s="46"/>
      <c r="E43" s="31">
        <f t="shared" si="5"/>
        <v>3</v>
      </c>
    </row>
    <row r="44" spans="1:5">
      <c r="A44" s="30" t="s">
        <v>42</v>
      </c>
      <c r="B44" s="13" t="s">
        <v>68</v>
      </c>
      <c r="C44" s="46"/>
      <c r="D44" s="46"/>
      <c r="E44" s="31">
        <f t="shared" si="5"/>
        <v>3</v>
      </c>
    </row>
    <row r="45" spans="1:5">
      <c r="A45" s="30" t="s">
        <v>45</v>
      </c>
      <c r="B45" s="13" t="s">
        <v>69</v>
      </c>
      <c r="C45" s="46"/>
      <c r="D45" s="46"/>
      <c r="E45" s="31">
        <f t="shared" si="5"/>
        <v>3</v>
      </c>
    </row>
    <row r="46" spans="1:5">
      <c r="A46" s="30" t="s">
        <v>45</v>
      </c>
      <c r="B46" s="13" t="s">
        <v>70</v>
      </c>
      <c r="C46" s="48"/>
      <c r="D46" s="48"/>
      <c r="E46" s="31">
        <f t="shared" si="5"/>
        <v>3</v>
      </c>
    </row>
    <row r="47" spans="1:5" s="22" customFormat="1">
      <c r="A47" s="90" t="s">
        <v>71</v>
      </c>
      <c r="B47" s="90"/>
      <c r="C47" s="90"/>
      <c r="D47" s="90"/>
      <c r="E47" s="91"/>
    </row>
    <row r="48" spans="1:5">
      <c r="A48" s="30" t="s">
        <v>63</v>
      </c>
      <c r="B48" s="13" t="s">
        <v>72</v>
      </c>
      <c r="C48" s="46"/>
      <c r="D48" s="46"/>
      <c r="E48" s="31">
        <f t="shared" ref="E48:E53" si="6">IF(EXACT($C48,D48),3,IF($C48=0,0,IF(SIGN((LEFT($C48,1))-(RIGHT($C48,1)))=SIGN((LEFT(D48,1))-(RIGHT(D48,1))),1,0)))</f>
        <v>3</v>
      </c>
    </row>
    <row r="49" spans="1:5">
      <c r="A49" s="30" t="s">
        <v>65</v>
      </c>
      <c r="B49" s="13" t="s">
        <v>73</v>
      </c>
      <c r="C49" s="46"/>
      <c r="D49" s="46"/>
      <c r="E49" s="31">
        <f t="shared" si="6"/>
        <v>3</v>
      </c>
    </row>
    <row r="50" spans="1:5">
      <c r="A50" s="30" t="s">
        <v>42</v>
      </c>
      <c r="B50" s="13" t="s">
        <v>74</v>
      </c>
      <c r="C50" s="46"/>
      <c r="D50" s="46"/>
      <c r="E50" s="31">
        <f t="shared" si="6"/>
        <v>3</v>
      </c>
    </row>
    <row r="51" spans="1:5">
      <c r="A51" s="30" t="s">
        <v>42</v>
      </c>
      <c r="B51" s="13" t="s">
        <v>75</v>
      </c>
      <c r="C51" s="46"/>
      <c r="D51" s="46"/>
      <c r="E51" s="31">
        <f t="shared" si="6"/>
        <v>3</v>
      </c>
    </row>
    <row r="52" spans="1:5">
      <c r="A52" s="30" t="s">
        <v>45</v>
      </c>
      <c r="B52" s="13" t="s">
        <v>76</v>
      </c>
      <c r="C52" s="46"/>
      <c r="D52" s="46"/>
      <c r="E52" s="31">
        <f t="shared" si="6"/>
        <v>3</v>
      </c>
    </row>
    <row r="53" spans="1:5">
      <c r="A53" s="30" t="s">
        <v>45</v>
      </c>
      <c r="B53" s="13" t="s">
        <v>77</v>
      </c>
      <c r="C53" s="48"/>
      <c r="D53" s="48"/>
      <c r="E53" s="31">
        <f t="shared" si="6"/>
        <v>3</v>
      </c>
    </row>
    <row r="54" spans="1:5" s="22" customFormat="1">
      <c r="A54" s="90" t="s">
        <v>78</v>
      </c>
      <c r="B54" s="90"/>
      <c r="C54" s="90"/>
      <c r="D54" s="90"/>
      <c r="E54" s="91"/>
    </row>
    <row r="55" spans="1:5">
      <c r="A55" s="30" t="s">
        <v>79</v>
      </c>
      <c r="B55" s="13" t="s">
        <v>80</v>
      </c>
      <c r="C55" s="46"/>
      <c r="D55" s="46"/>
      <c r="E55" s="31">
        <f t="shared" ref="E55:E60" si="7">IF(EXACT($C55,D55),3,IF($C55=0,0,IF(SIGN((LEFT($C55,1))-(RIGHT($C55,1)))=SIGN((LEFT(D55,1))-(RIGHT(D55,1))),1,0)))</f>
        <v>3</v>
      </c>
    </row>
    <row r="56" spans="1:5">
      <c r="A56" s="30" t="s">
        <v>81</v>
      </c>
      <c r="B56" s="13" t="s">
        <v>82</v>
      </c>
      <c r="C56" s="46"/>
      <c r="D56" s="46"/>
      <c r="E56" s="31">
        <f t="shared" si="7"/>
        <v>3</v>
      </c>
    </row>
    <row r="57" spans="1:5">
      <c r="A57" s="30" t="s">
        <v>83</v>
      </c>
      <c r="B57" s="13" t="s">
        <v>84</v>
      </c>
      <c r="C57" s="46"/>
      <c r="D57" s="46"/>
      <c r="E57" s="31">
        <f t="shared" si="7"/>
        <v>3</v>
      </c>
    </row>
    <row r="58" spans="1:5">
      <c r="A58" s="30" t="s">
        <v>83</v>
      </c>
      <c r="B58" s="13" t="s">
        <v>85</v>
      </c>
      <c r="C58" s="46"/>
      <c r="D58" s="46"/>
      <c r="E58" s="31">
        <f t="shared" si="7"/>
        <v>3</v>
      </c>
    </row>
    <row r="59" spans="1:5">
      <c r="A59" s="30" t="s">
        <v>86</v>
      </c>
      <c r="B59" s="13" t="s">
        <v>87</v>
      </c>
      <c r="C59" s="46"/>
      <c r="D59" s="46"/>
      <c r="E59" s="31">
        <f t="shared" si="7"/>
        <v>3</v>
      </c>
    </row>
    <row r="60" spans="1:5">
      <c r="A60" s="30" t="s">
        <v>86</v>
      </c>
      <c r="B60" s="13" t="s">
        <v>88</v>
      </c>
      <c r="C60" s="48"/>
      <c r="D60" s="48"/>
      <c r="E60" s="31">
        <f t="shared" si="7"/>
        <v>3</v>
      </c>
    </row>
    <row r="61" spans="1:5" s="22" customFormat="1">
      <c r="A61" s="90" t="s">
        <v>89</v>
      </c>
      <c r="B61" s="90"/>
      <c r="C61" s="90"/>
      <c r="D61" s="90"/>
      <c r="E61" s="91"/>
    </row>
    <row r="62" spans="1:5">
      <c r="A62" s="30" t="s">
        <v>79</v>
      </c>
      <c r="B62" s="13" t="s">
        <v>90</v>
      </c>
      <c r="C62" s="46"/>
      <c r="D62" s="46"/>
      <c r="E62" s="31">
        <f t="shared" ref="E62:E67" si="8">IF(EXACT($C62,D62),3,IF($C62=0,0,IF(SIGN((LEFT($C62,1))-(RIGHT($C62,1)))=SIGN((LEFT(D62,1))-(RIGHT(D62,1))),1,0)))</f>
        <v>3</v>
      </c>
    </row>
    <row r="63" spans="1:5">
      <c r="A63" s="30" t="s">
        <v>81</v>
      </c>
      <c r="B63" s="13" t="s">
        <v>91</v>
      </c>
      <c r="C63" s="46"/>
      <c r="D63" s="46"/>
      <c r="E63" s="31">
        <f t="shared" si="8"/>
        <v>3</v>
      </c>
    </row>
    <row r="64" spans="1:5">
      <c r="A64" s="30" t="s">
        <v>83</v>
      </c>
      <c r="B64" s="13" t="s">
        <v>92</v>
      </c>
      <c r="C64" s="46"/>
      <c r="D64" s="46"/>
      <c r="E64" s="31">
        <f t="shared" si="8"/>
        <v>3</v>
      </c>
    </row>
    <row r="65" spans="1:5">
      <c r="A65" s="30" t="s">
        <v>83</v>
      </c>
      <c r="B65" s="13" t="s">
        <v>93</v>
      </c>
      <c r="C65" s="46"/>
      <c r="D65" s="46"/>
      <c r="E65" s="31">
        <f t="shared" si="8"/>
        <v>3</v>
      </c>
    </row>
    <row r="66" spans="1:5">
      <c r="A66" s="30" t="s">
        <v>86</v>
      </c>
      <c r="B66" s="13" t="s">
        <v>94</v>
      </c>
      <c r="C66" s="46"/>
      <c r="D66" s="46"/>
      <c r="E66" s="31">
        <f t="shared" si="8"/>
        <v>3</v>
      </c>
    </row>
    <row r="67" spans="1:5">
      <c r="A67" s="30" t="s">
        <v>86</v>
      </c>
      <c r="B67" s="13" t="s">
        <v>95</v>
      </c>
      <c r="C67" s="48"/>
      <c r="D67" s="48"/>
      <c r="E67" s="31">
        <f t="shared" si="8"/>
        <v>3</v>
      </c>
    </row>
    <row r="68" spans="1:5" s="22" customFormat="1">
      <c r="A68" s="90" t="s">
        <v>96</v>
      </c>
      <c r="B68" s="90"/>
      <c r="C68" s="90"/>
      <c r="D68" s="90"/>
      <c r="E68" s="91"/>
    </row>
    <row r="69" spans="1:5">
      <c r="A69" s="30" t="s">
        <v>97</v>
      </c>
      <c r="B69" s="13" t="s">
        <v>98</v>
      </c>
      <c r="C69" s="46"/>
      <c r="D69" s="46"/>
      <c r="E69" s="31">
        <f t="shared" ref="E69:E74" si="9">IF(EXACT($C69,D69),3,IF($C69=0,0,IF(SIGN((LEFT($C69,1))-(RIGHT($C69,1)))=SIGN((LEFT(D69,1))-(RIGHT(D69,1))),1,0)))</f>
        <v>3</v>
      </c>
    </row>
    <row r="70" spans="1:5">
      <c r="A70" s="30" t="s">
        <v>99</v>
      </c>
      <c r="B70" s="13" t="s">
        <v>100</v>
      </c>
      <c r="C70" s="46"/>
      <c r="D70" s="46"/>
      <c r="E70" s="31">
        <f t="shared" si="9"/>
        <v>3</v>
      </c>
    </row>
    <row r="71" spans="1:5">
      <c r="A71" s="30" t="s">
        <v>101</v>
      </c>
      <c r="B71" s="13" t="s">
        <v>102</v>
      </c>
      <c r="C71" s="46"/>
      <c r="D71" s="46"/>
      <c r="E71" s="31">
        <f t="shared" si="9"/>
        <v>3</v>
      </c>
    </row>
    <row r="72" spans="1:5">
      <c r="A72" s="30" t="s">
        <v>101</v>
      </c>
      <c r="B72" s="13" t="s">
        <v>103</v>
      </c>
      <c r="C72" s="46"/>
      <c r="D72" s="46"/>
      <c r="E72" s="31">
        <f t="shared" si="9"/>
        <v>3</v>
      </c>
    </row>
    <row r="73" spans="1:5">
      <c r="A73" s="30" t="s">
        <v>104</v>
      </c>
      <c r="B73" s="13" t="s">
        <v>105</v>
      </c>
      <c r="C73" s="46"/>
      <c r="D73" s="46"/>
      <c r="E73" s="31">
        <f t="shared" si="9"/>
        <v>3</v>
      </c>
    </row>
    <row r="74" spans="1:5">
      <c r="A74" s="30" t="s">
        <v>104</v>
      </c>
      <c r="B74" s="13" t="s">
        <v>106</v>
      </c>
      <c r="C74" s="48"/>
      <c r="D74" s="48"/>
      <c r="E74" s="31">
        <f t="shared" si="9"/>
        <v>3</v>
      </c>
    </row>
    <row r="75" spans="1:5" s="22" customFormat="1">
      <c r="A75" s="90" t="s">
        <v>107</v>
      </c>
      <c r="B75" s="90"/>
      <c r="C75" s="90"/>
      <c r="D75" s="90"/>
      <c r="E75" s="91"/>
    </row>
    <row r="76" spans="1:5">
      <c r="A76" s="30" t="s">
        <v>97</v>
      </c>
      <c r="B76" s="13" t="s">
        <v>108</v>
      </c>
      <c r="C76" s="46"/>
      <c r="D76" s="46"/>
      <c r="E76" s="31">
        <f t="shared" ref="E76:E81" si="10">IF(EXACT($C76,D76),3,IF($C76=0,0,IF(SIGN((LEFT($C76,1))-(RIGHT($C76,1)))=SIGN((LEFT(D76,1))-(RIGHT(D76,1))),1,0)))</f>
        <v>3</v>
      </c>
    </row>
    <row r="77" spans="1:5">
      <c r="A77" s="30" t="s">
        <v>99</v>
      </c>
      <c r="B77" s="13" t="s">
        <v>109</v>
      </c>
      <c r="C77" s="46"/>
      <c r="D77" s="46"/>
      <c r="E77" s="31">
        <f t="shared" si="10"/>
        <v>3</v>
      </c>
    </row>
    <row r="78" spans="1:5">
      <c r="A78" s="30" t="s">
        <v>101</v>
      </c>
      <c r="B78" s="13" t="s">
        <v>110</v>
      </c>
      <c r="C78" s="46"/>
      <c r="D78" s="46"/>
      <c r="E78" s="31">
        <f t="shared" si="10"/>
        <v>3</v>
      </c>
    </row>
    <row r="79" spans="1:5">
      <c r="A79" s="30" t="s">
        <v>101</v>
      </c>
      <c r="B79" s="13" t="s">
        <v>111</v>
      </c>
      <c r="C79" s="46"/>
      <c r="D79" s="46"/>
      <c r="E79" s="31">
        <f t="shared" si="10"/>
        <v>3</v>
      </c>
    </row>
    <row r="80" spans="1:5">
      <c r="A80" s="30" t="s">
        <v>104</v>
      </c>
      <c r="B80" s="13" t="s">
        <v>112</v>
      </c>
      <c r="C80" s="46"/>
      <c r="D80" s="46"/>
      <c r="E80" s="31">
        <f t="shared" si="10"/>
        <v>3</v>
      </c>
    </row>
    <row r="81" spans="1:5">
      <c r="A81" s="30" t="s">
        <v>104</v>
      </c>
      <c r="B81" s="13" t="s">
        <v>113</v>
      </c>
      <c r="C81" s="48"/>
      <c r="D81" s="48"/>
      <c r="E81" s="31">
        <f t="shared" si="10"/>
        <v>3</v>
      </c>
    </row>
    <row r="82" spans="1:5" s="22" customFormat="1">
      <c r="A82" s="90" t="s">
        <v>114</v>
      </c>
      <c r="B82" s="90"/>
      <c r="C82" s="90"/>
      <c r="D82" s="90"/>
      <c r="E82" s="91"/>
    </row>
    <row r="83" spans="1:5">
      <c r="A83" s="30" t="s">
        <v>115</v>
      </c>
      <c r="B83" s="13" t="s">
        <v>116</v>
      </c>
      <c r="C83" s="46"/>
      <c r="D83" s="46"/>
      <c r="E83" s="31">
        <f t="shared" ref="E83:E88" si="11">IF(EXACT($C83,D83),3,IF($C83=0,0,IF(SIGN((LEFT($C83,1))-(RIGHT($C83,1)))=SIGN((LEFT(D83,1))-(RIGHT(D83,1))),1,0)))</f>
        <v>3</v>
      </c>
    </row>
    <row r="84" spans="1:5">
      <c r="A84" s="30" t="s">
        <v>117</v>
      </c>
      <c r="B84" s="13" t="s">
        <v>118</v>
      </c>
      <c r="C84" s="46"/>
      <c r="D84" s="46"/>
      <c r="E84" s="31">
        <f t="shared" si="11"/>
        <v>3</v>
      </c>
    </row>
    <row r="85" spans="1:5">
      <c r="A85" s="30" t="s">
        <v>119</v>
      </c>
      <c r="B85" s="13" t="s">
        <v>120</v>
      </c>
      <c r="C85" s="46"/>
      <c r="D85" s="46"/>
      <c r="E85" s="31">
        <f t="shared" si="11"/>
        <v>3</v>
      </c>
    </row>
    <row r="86" spans="1:5">
      <c r="A86" s="30" t="s">
        <v>119</v>
      </c>
      <c r="B86" s="13" t="s">
        <v>121</v>
      </c>
      <c r="C86" s="46"/>
      <c r="D86" s="46"/>
      <c r="E86" s="31">
        <f t="shared" si="11"/>
        <v>3</v>
      </c>
    </row>
    <row r="87" spans="1:5">
      <c r="A87" s="30" t="s">
        <v>104</v>
      </c>
      <c r="B87" s="13" t="s">
        <v>122</v>
      </c>
      <c r="C87" s="46"/>
      <c r="D87" s="46"/>
      <c r="E87" s="31">
        <f t="shared" si="11"/>
        <v>3</v>
      </c>
    </row>
    <row r="88" spans="1:5">
      <c r="A88" s="30" t="s">
        <v>104</v>
      </c>
      <c r="B88" s="13" t="s">
        <v>123</v>
      </c>
      <c r="C88" s="48"/>
      <c r="D88" s="48"/>
      <c r="E88" s="31">
        <f t="shared" si="11"/>
        <v>3</v>
      </c>
    </row>
    <row r="89" spans="1:5">
      <c r="A89" s="77"/>
      <c r="B89" s="13"/>
      <c r="C89" s="48"/>
      <c r="D89" s="48"/>
      <c r="E89" s="78"/>
    </row>
    <row r="90" spans="1:5" s="23" customFormat="1" ht="54" customHeight="1">
      <c r="A90" s="99" t="s">
        <v>124</v>
      </c>
      <c r="B90" s="100"/>
      <c r="C90" s="100"/>
      <c r="D90" s="72" t="s">
        <v>125</v>
      </c>
      <c r="E90" s="39"/>
    </row>
    <row r="91" spans="1:5" s="59" customFormat="1" ht="30" customHeight="1">
      <c r="A91" s="95" t="s">
        <v>126</v>
      </c>
      <c r="B91" s="95"/>
      <c r="C91" s="95"/>
      <c r="D91" s="95"/>
      <c r="E91" s="79" t="e">
        <f>SUM(E6:E11,E13:E18,E20:E25,E27:E32,E34:E39,#REF!,E41:E46,E48:E53,E55:E60,E62:E67,E69:E74,E76:E81,E83:E88,E90)</f>
        <v>#REF!</v>
      </c>
    </row>
    <row r="92" spans="1:5" ht="30" customHeight="1">
      <c r="A92" s="86" t="s">
        <v>127</v>
      </c>
      <c r="B92" s="86"/>
      <c r="C92" s="86"/>
      <c r="D92" s="86"/>
      <c r="E92" s="87"/>
    </row>
    <row r="93" spans="1:5" s="25" customFormat="1" ht="46.5" customHeight="1">
      <c r="A93" s="94"/>
      <c r="B93" s="94"/>
      <c r="C93" s="27" t="s">
        <v>128</v>
      </c>
      <c r="D93" s="92" t="s">
        <v>129</v>
      </c>
      <c r="E93" s="93"/>
    </row>
    <row r="94" spans="1:5" ht="12.75" customHeight="1">
      <c r="A94" s="17"/>
      <c r="B94" s="36"/>
      <c r="C94" s="97" t="s">
        <v>130</v>
      </c>
      <c r="D94" s="53"/>
      <c r="E94" s="9">
        <f>IF(OR(EXACT(D94,$C$101),EXACT(D94,$C$95),EXACT(D94,$C$100),EXACT(D94,$C$94),EXACT(D94,$C$97),EXACT(D94,$C$96),EXACT(D94,$C$98),EXACT(D94,$C$99),EXACT(D94,$C$102),EXACT(D94,$C$103),EXACT(D94,$C$104),EXACT(D94,$C$105),EXACT(D94,$C$106),EXACT(D94,$C$107),EXACT(D94,$C$108),EXACT(D94,$C$109)),2,0)</f>
        <v>2</v>
      </c>
    </row>
    <row r="95" spans="1:5" ht="14.25" customHeight="1">
      <c r="A95" s="17"/>
      <c r="B95" s="36"/>
      <c r="C95" s="97"/>
      <c r="D95" s="53"/>
      <c r="E95" s="9">
        <f t="shared" ref="E95:E109" si="12">IF(OR(EXACT(D95,$C$101),EXACT(D95,$C$95),EXACT(D95,$C$100),EXACT(D95,$C$94),EXACT(D95,$C$97),EXACT(D95,$C$96),EXACT(D95,$C$98),EXACT(D95,$C$99),EXACT(D95,$C$102),EXACT(D95,$C$103),EXACT(D95,$C$104),EXACT(D95,$C$105),EXACT(D95,$C$106),EXACT(D95,$C$107),EXACT(D95,$C$108),EXACT(D95,$C$109)),2,0)</f>
        <v>2</v>
      </c>
    </row>
    <row r="96" spans="1:5">
      <c r="A96" s="17"/>
      <c r="B96" s="36"/>
      <c r="C96" s="97"/>
      <c r="D96" s="53"/>
      <c r="E96" s="9">
        <f t="shared" si="12"/>
        <v>2</v>
      </c>
    </row>
    <row r="97" spans="1:5">
      <c r="A97" s="17"/>
      <c r="B97" s="36"/>
      <c r="C97" s="97"/>
      <c r="D97" s="53"/>
      <c r="E97" s="9">
        <f t="shared" si="12"/>
        <v>2</v>
      </c>
    </row>
    <row r="98" spans="1:5">
      <c r="A98" s="17"/>
      <c r="B98" s="36"/>
      <c r="C98" s="97"/>
      <c r="D98" s="53"/>
      <c r="E98" s="9">
        <f t="shared" si="12"/>
        <v>2</v>
      </c>
    </row>
    <row r="99" spans="1:5">
      <c r="A99" s="17"/>
      <c r="B99" s="36"/>
      <c r="C99" s="97"/>
      <c r="D99" s="53"/>
      <c r="E99" s="9">
        <f t="shared" si="12"/>
        <v>2</v>
      </c>
    </row>
    <row r="100" spans="1:5" ht="12.75" customHeight="1">
      <c r="A100" s="17"/>
      <c r="B100" s="36"/>
      <c r="C100" s="97"/>
      <c r="D100" s="53"/>
      <c r="E100" s="9">
        <f t="shared" si="12"/>
        <v>2</v>
      </c>
    </row>
    <row r="101" spans="1:5" ht="12.75" customHeight="1">
      <c r="A101" s="17"/>
      <c r="B101" s="36"/>
      <c r="C101" s="97"/>
      <c r="D101" s="53"/>
      <c r="E101" s="9">
        <f t="shared" si="12"/>
        <v>2</v>
      </c>
    </row>
    <row r="102" spans="1:5" ht="12.75" customHeight="1">
      <c r="A102"/>
      <c r="C102" s="97"/>
      <c r="D102" s="53"/>
      <c r="E102" s="9">
        <f t="shared" si="12"/>
        <v>2</v>
      </c>
    </row>
    <row r="103" spans="1:5" ht="12.75" customHeight="1">
      <c r="C103" s="97"/>
      <c r="D103" s="53"/>
      <c r="E103" s="9">
        <f t="shared" si="12"/>
        <v>2</v>
      </c>
    </row>
    <row r="104" spans="1:5" ht="14.25" customHeight="1">
      <c r="C104" s="97"/>
      <c r="D104" s="53"/>
      <c r="E104" s="9">
        <f t="shared" si="12"/>
        <v>2</v>
      </c>
    </row>
    <row r="105" spans="1:5" ht="12.75" customHeight="1">
      <c r="C105" s="97"/>
      <c r="D105" s="53"/>
      <c r="E105" s="9">
        <f t="shared" si="12"/>
        <v>2</v>
      </c>
    </row>
    <row r="106" spans="1:5" ht="12.75" customHeight="1">
      <c r="C106" s="97"/>
      <c r="D106" s="53"/>
      <c r="E106" s="9">
        <f t="shared" si="12"/>
        <v>2</v>
      </c>
    </row>
    <row r="107" spans="1:5">
      <c r="A107"/>
      <c r="C107" s="97"/>
      <c r="D107" s="53"/>
      <c r="E107" s="9">
        <f t="shared" si="12"/>
        <v>2</v>
      </c>
    </row>
    <row r="108" spans="1:5">
      <c r="C108" s="97"/>
      <c r="D108" s="53"/>
      <c r="E108" s="9">
        <f t="shared" si="12"/>
        <v>2</v>
      </c>
    </row>
    <row r="109" spans="1:5">
      <c r="A109" s="50"/>
      <c r="B109" s="51"/>
      <c r="C109" s="98"/>
      <c r="D109" s="54"/>
      <c r="E109" s="9">
        <f t="shared" si="12"/>
        <v>2</v>
      </c>
    </row>
    <row r="110" spans="1:5" s="24" customFormat="1" ht="36" customHeight="1">
      <c r="A110" s="103"/>
      <c r="B110" s="103"/>
      <c r="C110" s="66" t="s">
        <v>131</v>
      </c>
      <c r="D110" s="84" t="s">
        <v>132</v>
      </c>
      <c r="E110" s="85"/>
    </row>
    <row r="111" spans="1:5" ht="15.75" customHeight="1">
      <c r="A111" s="17"/>
      <c r="B111" s="36"/>
      <c r="D111" s="53"/>
      <c r="E111" s="9">
        <f>IF(OR(EXACT(D111,$C$111),EXACT(D111,$C$112),EXACT(D111,$C$113),EXACT(D111,$C$114),EXACT(D111,$C$115),EXACT(D111,$C$116),EXACT(D111,$C$117),EXACT(D111,$C$118)),4,0)</f>
        <v>4</v>
      </c>
    </row>
    <row r="112" spans="1:5" ht="12.75" customHeight="1">
      <c r="A112" s="17"/>
      <c r="B112" s="36"/>
      <c r="C112" s="52"/>
      <c r="D112" s="53"/>
      <c r="E112" s="9">
        <f t="shared" ref="E112:E118" si="13">IF(OR(EXACT(D112,$C$111),EXACT(D112,$C$112),EXACT(D112,$C$113),EXACT(D112,$C$114),EXACT(D112,$C$115),EXACT(D112,$C$116),EXACT(D112,$C$117),EXACT(D112,$C$118)),4,0)</f>
        <v>4</v>
      </c>
    </row>
    <row r="113" spans="1:5" ht="14.25" customHeight="1">
      <c r="A113" s="17"/>
      <c r="B113" s="36"/>
      <c r="C113" s="52"/>
      <c r="D113" s="53"/>
      <c r="E113" s="9">
        <f t="shared" si="13"/>
        <v>4</v>
      </c>
    </row>
    <row r="114" spans="1:5" ht="12.75" customHeight="1">
      <c r="A114" s="17"/>
      <c r="B114" s="36"/>
      <c r="C114" s="52"/>
      <c r="D114" s="53"/>
      <c r="E114" s="9">
        <f t="shared" si="13"/>
        <v>4</v>
      </c>
    </row>
    <row r="115" spans="1:5" ht="12.75" customHeight="1">
      <c r="A115"/>
      <c r="C115" s="53"/>
      <c r="D115" s="53"/>
      <c r="E115" s="9">
        <f t="shared" si="13"/>
        <v>4</v>
      </c>
    </row>
    <row r="116" spans="1:5">
      <c r="A116"/>
      <c r="C116" s="53"/>
      <c r="D116" s="53"/>
      <c r="E116" s="9">
        <f t="shared" si="13"/>
        <v>4</v>
      </c>
    </row>
    <row r="117" spans="1:5">
      <c r="A117"/>
      <c r="C117" s="53"/>
      <c r="D117" s="53"/>
      <c r="E117" s="9">
        <f t="shared" si="13"/>
        <v>4</v>
      </c>
    </row>
    <row r="118" spans="1:5">
      <c r="A118"/>
      <c r="C118" s="53"/>
      <c r="D118" s="53"/>
      <c r="E118" s="9">
        <f t="shared" si="13"/>
        <v>4</v>
      </c>
    </row>
    <row r="119" spans="1:5" s="64" customFormat="1" ht="27.75" customHeight="1">
      <c r="A119" s="55"/>
      <c r="B119" s="55"/>
      <c r="C119" s="56" t="s">
        <v>133</v>
      </c>
      <c r="D119" s="104" t="s">
        <v>134</v>
      </c>
      <c r="E119" s="105"/>
    </row>
    <row r="120" spans="1:5">
      <c r="A120" s="17"/>
      <c r="B120" s="36"/>
      <c r="D120" s="53"/>
      <c r="E120" s="9">
        <f>IF(OR(EXACT(D120,$C$120),EXACT(D120,$C$121),EXACT(D120,$C$122),EXACT(D120,$C$123)),8,0)</f>
        <v>8</v>
      </c>
    </row>
    <row r="121" spans="1:5">
      <c r="A121" s="57"/>
      <c r="B121" s="36"/>
      <c r="D121" s="53"/>
      <c r="E121" s="9">
        <f t="shared" ref="E121:E123" si="14">IF(OR(EXACT(D121,$C$120),EXACT(D121,$C$121),EXACT(D121,$C$122),EXACT(D121,$C$123)),8,0)</f>
        <v>8</v>
      </c>
    </row>
    <row r="122" spans="1:5">
      <c r="A122"/>
      <c r="D122" s="53"/>
      <c r="E122" s="9">
        <f t="shared" si="14"/>
        <v>8</v>
      </c>
    </row>
    <row r="123" spans="1:5">
      <c r="A123"/>
      <c r="C123" s="53"/>
      <c r="D123" s="53"/>
      <c r="E123" s="9">
        <f t="shared" si="14"/>
        <v>8</v>
      </c>
    </row>
    <row r="124" spans="1:5" s="65" customFormat="1" ht="27" customHeight="1">
      <c r="C124" s="66" t="s">
        <v>135</v>
      </c>
      <c r="D124" s="106" t="s">
        <v>136</v>
      </c>
      <c r="E124" s="107"/>
    </row>
    <row r="125" spans="1:5">
      <c r="A125" s="36"/>
      <c r="B125" s="58"/>
      <c r="C125" s="53"/>
      <c r="D125" s="53"/>
      <c r="E125" s="9">
        <f>IF(OR(EXACT(D125,$C$125),EXACT(D125,$C$126)),15,0)</f>
        <v>15</v>
      </c>
    </row>
    <row r="126" spans="1:5">
      <c r="A126"/>
      <c r="D126" s="53"/>
      <c r="E126" s="9">
        <f>IF(OR(EXACT(D126,$C$125),EXACT(D126,$C$126)),15,0)</f>
        <v>15</v>
      </c>
    </row>
    <row r="127" spans="1:5" s="65" customFormat="1" ht="27" customHeight="1">
      <c r="C127" s="66" t="s">
        <v>137</v>
      </c>
      <c r="D127" s="108" t="s">
        <v>138</v>
      </c>
      <c r="E127" s="109"/>
    </row>
    <row r="128" spans="1:5" s="26" customFormat="1" ht="23.25" customHeight="1">
      <c r="A128" s="102" t="s">
        <v>139</v>
      </c>
      <c r="B128" s="102"/>
      <c r="C128" s="81"/>
      <c r="D128" s="81"/>
      <c r="E128" s="49">
        <f>IF(EXACT($C128,D128),30,0)</f>
        <v>30</v>
      </c>
    </row>
    <row r="129" spans="1:5" s="68" customFormat="1" ht="23.25" customHeight="1">
      <c r="A129" s="95" t="s">
        <v>140</v>
      </c>
      <c r="B129" s="95"/>
      <c r="C129" s="95"/>
      <c r="D129" s="95"/>
      <c r="E129" s="67">
        <f>SUM(E94:E109,E111:E118,E120:E123,E125:E126,E128)</f>
        <v>156</v>
      </c>
    </row>
    <row r="130" spans="1:5" s="63" customFormat="1" ht="70.5" customHeight="1">
      <c r="A130" s="101" t="s">
        <v>141</v>
      </c>
      <c r="B130" s="101"/>
      <c r="C130" s="101"/>
      <c r="D130" s="71"/>
      <c r="E130" s="62"/>
    </row>
    <row r="131" spans="1:5" s="28" customFormat="1" ht="57" customHeight="1">
      <c r="A131" s="96" t="s">
        <v>142</v>
      </c>
      <c r="B131" s="96"/>
      <c r="C131" s="96"/>
      <c r="D131" s="96"/>
      <c r="E131" s="61" t="e">
        <f>E91+E129+E130</f>
        <v>#REF!</v>
      </c>
    </row>
    <row r="132" spans="1:5">
      <c r="A132"/>
      <c r="D132" s="5"/>
      <c r="E132"/>
    </row>
    <row r="133" spans="1:5">
      <c r="A133"/>
      <c r="D133" s="5"/>
      <c r="E133"/>
    </row>
    <row r="134" spans="1:5">
      <c r="A134"/>
      <c r="D134" s="5"/>
      <c r="E134"/>
    </row>
    <row r="135" spans="1:5">
      <c r="A135"/>
      <c r="B135" s="5"/>
      <c r="D135" s="5"/>
      <c r="E135"/>
    </row>
    <row r="136" spans="1:5">
      <c r="A136"/>
      <c r="D136" s="5"/>
      <c r="E136"/>
    </row>
    <row r="137" spans="1:5">
      <c r="A137"/>
      <c r="D137" s="5"/>
      <c r="E137"/>
    </row>
    <row r="138" spans="1:5">
      <c r="A138"/>
      <c r="D138" s="5"/>
      <c r="E138"/>
    </row>
    <row r="139" spans="1:5">
      <c r="A139"/>
      <c r="D139" s="5"/>
      <c r="E139"/>
    </row>
    <row r="140" spans="1:5">
      <c r="A140"/>
      <c r="D140" s="5"/>
      <c r="E140"/>
    </row>
    <row r="141" spans="1:5">
      <c r="A141"/>
      <c r="D141" s="5"/>
      <c r="E141"/>
    </row>
    <row r="142" spans="1:5">
      <c r="A142"/>
      <c r="D142" s="5"/>
      <c r="E142"/>
    </row>
    <row r="143" spans="1:5">
      <c r="A143"/>
      <c r="D143" s="5"/>
      <c r="E143"/>
    </row>
    <row r="144" spans="1:5">
      <c r="A144"/>
      <c r="D144" s="5"/>
      <c r="E144"/>
    </row>
    <row r="145" spans="1:5">
      <c r="A145"/>
      <c r="D145" s="5"/>
      <c r="E145"/>
    </row>
    <row r="146" spans="1:5">
      <c r="A146"/>
      <c r="D146" s="5"/>
      <c r="E146"/>
    </row>
    <row r="147" spans="1:5">
      <c r="A147"/>
      <c r="D147" s="5"/>
      <c r="E147"/>
    </row>
    <row r="148" spans="1:5">
      <c r="D148" s="5"/>
      <c r="E148"/>
    </row>
    <row r="149" spans="1:5">
      <c r="A149"/>
      <c r="D149" s="5"/>
      <c r="E149"/>
    </row>
    <row r="150" spans="1:5">
      <c r="A150"/>
      <c r="D150" s="5"/>
      <c r="E150"/>
    </row>
    <row r="151" spans="1:5">
      <c r="A151"/>
      <c r="D151" s="5"/>
      <c r="E151"/>
    </row>
    <row r="152" spans="1:5">
      <c r="A152"/>
      <c r="D152" s="5"/>
      <c r="E152"/>
    </row>
    <row r="153" spans="1:5">
      <c r="A153"/>
      <c r="D153" s="5"/>
      <c r="E153"/>
    </row>
    <row r="154" spans="1:5">
      <c r="A154"/>
      <c r="D154" s="5"/>
      <c r="E154"/>
    </row>
    <row r="155" spans="1:5">
      <c r="A155"/>
      <c r="D155" s="5"/>
      <c r="E155"/>
    </row>
    <row r="156" spans="1:5">
      <c r="A156"/>
      <c r="D156" s="5"/>
      <c r="E156"/>
    </row>
    <row r="157" spans="1:5">
      <c r="A157"/>
      <c r="D157" s="5"/>
      <c r="E157"/>
    </row>
    <row r="158" spans="1:5">
      <c r="A158"/>
      <c r="D158" s="5"/>
      <c r="E158"/>
    </row>
    <row r="159" spans="1:5">
      <c r="A159"/>
      <c r="D159" s="5"/>
      <c r="E159"/>
    </row>
    <row r="160" spans="1:5">
      <c r="A160"/>
      <c r="D160" s="5"/>
      <c r="E160"/>
    </row>
    <row r="161" spans="3:4" customFormat="1">
      <c r="C161" s="1"/>
      <c r="D161" s="5"/>
    </row>
    <row r="162" spans="3:4" customFormat="1">
      <c r="C162" s="1"/>
      <c r="D162" s="5"/>
    </row>
    <row r="163" spans="3:4" customFormat="1">
      <c r="C163" s="1"/>
      <c r="D163" s="5"/>
    </row>
    <row r="164" spans="3:4" customFormat="1">
      <c r="C164" s="1"/>
      <c r="D164" s="5"/>
    </row>
    <row r="165" spans="3:4" customFormat="1">
      <c r="C165" s="1"/>
      <c r="D165" s="5"/>
    </row>
    <row r="166" spans="3:4" customFormat="1">
      <c r="C166" s="1"/>
      <c r="D166" s="5"/>
    </row>
    <row r="167" spans="3:4" customFormat="1">
      <c r="C167" s="1"/>
      <c r="D167" s="5"/>
    </row>
    <row r="168" spans="3:4" customFormat="1">
      <c r="C168" s="1"/>
      <c r="D168" s="5"/>
    </row>
    <row r="169" spans="3:4" customFormat="1">
      <c r="C169" s="1"/>
      <c r="D169" s="5"/>
    </row>
    <row r="170" spans="3:4" customFormat="1">
      <c r="C170" s="1"/>
      <c r="D170" s="5"/>
    </row>
    <row r="171" spans="3:4" customFormat="1">
      <c r="C171" s="1"/>
      <c r="D171" s="5"/>
    </row>
    <row r="172" spans="3:4" customFormat="1">
      <c r="C172" s="1"/>
      <c r="D172" s="5"/>
    </row>
    <row r="173" spans="3:4" customFormat="1">
      <c r="C173" s="1"/>
      <c r="D173" s="5"/>
    </row>
    <row r="174" spans="3:4" customFormat="1">
      <c r="C174" s="1"/>
      <c r="D174" s="5"/>
    </row>
    <row r="175" spans="3:4" customFormat="1">
      <c r="C175" s="1"/>
      <c r="D175" s="5"/>
    </row>
    <row r="176" spans="3:4" customFormat="1">
      <c r="C176" s="1"/>
      <c r="D176" s="5"/>
    </row>
    <row r="177" spans="3:4" customFormat="1">
      <c r="C177" s="1"/>
      <c r="D177" s="5"/>
    </row>
    <row r="178" spans="3:4" customFormat="1">
      <c r="C178" s="1"/>
      <c r="D178" s="5"/>
    </row>
    <row r="179" spans="3:4" customFormat="1">
      <c r="C179" s="1"/>
      <c r="D179" s="5"/>
    </row>
    <row r="180" spans="3:4" customFormat="1">
      <c r="C180" s="1"/>
      <c r="D180" s="5"/>
    </row>
    <row r="181" spans="3:4" customFormat="1">
      <c r="C181" s="1"/>
      <c r="D181" s="5"/>
    </row>
    <row r="182" spans="3:4" customFormat="1">
      <c r="C182" s="1"/>
      <c r="D182" s="5"/>
    </row>
    <row r="183" spans="3:4" customFormat="1">
      <c r="C183" s="1"/>
      <c r="D183" s="5"/>
    </row>
    <row r="184" spans="3:4" customFormat="1">
      <c r="C184" s="1"/>
      <c r="D184" s="5"/>
    </row>
    <row r="185" spans="3:4" customFormat="1">
      <c r="C185" s="1"/>
      <c r="D185" s="5"/>
    </row>
    <row r="186" spans="3:4" customFormat="1">
      <c r="C186" s="1"/>
      <c r="D186" s="5"/>
    </row>
    <row r="187" spans="3:4" customFormat="1">
      <c r="C187" s="1"/>
      <c r="D187" s="5"/>
    </row>
    <row r="188" spans="3:4" customFormat="1">
      <c r="C188" s="1"/>
      <c r="D188" s="5"/>
    </row>
    <row r="189" spans="3:4" customFormat="1">
      <c r="C189" s="1"/>
      <c r="D189" s="5"/>
    </row>
    <row r="190" spans="3:4" customFormat="1">
      <c r="C190" s="1"/>
      <c r="D190" s="5"/>
    </row>
    <row r="191" spans="3:4" customFormat="1">
      <c r="C191" s="1"/>
      <c r="D191" s="5"/>
    </row>
    <row r="192" spans="3:4" customFormat="1">
      <c r="C192" s="1"/>
      <c r="D192" s="5"/>
    </row>
    <row r="193" spans="3:4" customFormat="1">
      <c r="C193" s="1"/>
      <c r="D193" s="5"/>
    </row>
    <row r="194" spans="3:4" customFormat="1">
      <c r="C194" s="1"/>
      <c r="D194" s="5"/>
    </row>
    <row r="195" spans="3:4" customFormat="1">
      <c r="C195" s="1"/>
      <c r="D195" s="5"/>
    </row>
    <row r="196" spans="3:4" customFormat="1">
      <c r="C196" s="1"/>
      <c r="D196" s="5"/>
    </row>
    <row r="197" spans="3:4" customFormat="1">
      <c r="C197" s="1"/>
      <c r="D197" s="5"/>
    </row>
    <row r="198" spans="3:4" customFormat="1">
      <c r="C198" s="1"/>
      <c r="D198" s="5"/>
    </row>
    <row r="199" spans="3:4" customFormat="1">
      <c r="C199" s="1"/>
      <c r="D199" s="5"/>
    </row>
    <row r="200" spans="3:4" customFormat="1">
      <c r="C200" s="1"/>
      <c r="D200" s="5"/>
    </row>
    <row r="201" spans="3:4" customFormat="1">
      <c r="C201" s="1"/>
      <c r="D201" s="5"/>
    </row>
    <row r="202" spans="3:4" customFormat="1">
      <c r="C202" s="1"/>
      <c r="D202" s="5"/>
    </row>
    <row r="203" spans="3:4" customFormat="1">
      <c r="C203" s="1"/>
      <c r="D203" s="5"/>
    </row>
    <row r="204" spans="3:4" customFormat="1">
      <c r="C204" s="1"/>
      <c r="D204" s="5"/>
    </row>
    <row r="205" spans="3:4" customFormat="1">
      <c r="C205" s="1"/>
      <c r="D205" s="5"/>
    </row>
    <row r="206" spans="3:4" customFormat="1">
      <c r="C206" s="1"/>
      <c r="D206" s="5"/>
    </row>
    <row r="207" spans="3:4" customFormat="1">
      <c r="C207" s="1"/>
      <c r="D207" s="5"/>
    </row>
    <row r="208" spans="3:4" customFormat="1">
      <c r="C208" s="1"/>
      <c r="D208" s="5"/>
    </row>
    <row r="209" spans="3:4" customFormat="1">
      <c r="C209" s="1"/>
      <c r="D209" s="5"/>
    </row>
    <row r="210" spans="3:4" customFormat="1">
      <c r="C210" s="1"/>
      <c r="D210" s="5"/>
    </row>
    <row r="211" spans="3:4" customFormat="1">
      <c r="C211" s="1"/>
      <c r="D211" s="5"/>
    </row>
    <row r="212" spans="3:4" customFormat="1">
      <c r="C212" s="1"/>
      <c r="D212" s="5"/>
    </row>
    <row r="213" spans="3:4" customFormat="1">
      <c r="C213" s="1"/>
      <c r="D213" s="5"/>
    </row>
    <row r="214" spans="3:4" customFormat="1">
      <c r="C214" s="1"/>
      <c r="D214" s="5"/>
    </row>
    <row r="215" spans="3:4" customFormat="1">
      <c r="C215" s="1"/>
      <c r="D215" s="5"/>
    </row>
    <row r="216" spans="3:4" customFormat="1">
      <c r="C216" s="1"/>
      <c r="D216" s="5"/>
    </row>
    <row r="217" spans="3:4" customFormat="1">
      <c r="C217" s="1"/>
      <c r="D217" s="5"/>
    </row>
    <row r="218" spans="3:4" customFormat="1">
      <c r="C218" s="1"/>
      <c r="D218" s="5"/>
    </row>
    <row r="219" spans="3:4" customFormat="1">
      <c r="C219" s="1"/>
      <c r="D219" s="5"/>
    </row>
    <row r="220" spans="3:4" customFormat="1">
      <c r="C220" s="1"/>
      <c r="D220" s="5"/>
    </row>
    <row r="221" spans="3:4" customFormat="1">
      <c r="C221" s="1"/>
      <c r="D221" s="5"/>
    </row>
    <row r="222" spans="3:4" customFormat="1">
      <c r="C222" s="1"/>
      <c r="D222" s="5"/>
    </row>
    <row r="223" spans="3:4" customFormat="1">
      <c r="C223" s="1"/>
      <c r="D223" s="5"/>
    </row>
    <row r="224" spans="3:4" customFormat="1">
      <c r="C224" s="1"/>
      <c r="D224" s="5"/>
    </row>
    <row r="225" spans="1:5">
      <c r="A225"/>
      <c r="D225" s="5"/>
      <c r="E225"/>
    </row>
    <row r="226" spans="1:5">
      <c r="A226"/>
      <c r="D226" s="5"/>
      <c r="E226"/>
    </row>
    <row r="227" spans="1:5">
      <c r="D227" s="5"/>
      <c r="E227"/>
    </row>
    <row r="228" spans="1:5">
      <c r="D228" s="5"/>
      <c r="E228"/>
    </row>
    <row r="229" spans="1:5">
      <c r="D229" s="5"/>
      <c r="E229"/>
    </row>
    <row r="230" spans="1:5">
      <c r="D230" s="5"/>
      <c r="E230"/>
    </row>
    <row r="231" spans="1:5">
      <c r="D231" s="5"/>
      <c r="E231"/>
    </row>
    <row r="232" spans="1:5">
      <c r="D232" s="5"/>
      <c r="E232"/>
    </row>
    <row r="233" spans="1:5">
      <c r="D233" s="5"/>
      <c r="E233"/>
    </row>
    <row r="234" spans="1:5">
      <c r="D234" s="5"/>
      <c r="E234"/>
    </row>
    <row r="235" spans="1:5">
      <c r="D235" s="5"/>
      <c r="E235"/>
    </row>
    <row r="236" spans="1:5">
      <c r="D236" s="5"/>
      <c r="E236"/>
    </row>
    <row r="237" spans="1:5">
      <c r="D237" s="5"/>
      <c r="E237"/>
    </row>
    <row r="238" spans="1:5">
      <c r="D238" s="5"/>
    </row>
    <row r="239" spans="1:5">
      <c r="D239" s="5"/>
    </row>
    <row r="240" spans="1:5">
      <c r="D240" s="5"/>
    </row>
    <row r="241" spans="4:4">
      <c r="D241" s="5"/>
    </row>
    <row r="242" spans="4:4">
      <c r="D242" s="5"/>
    </row>
  </sheetData>
  <mergeCells count="29">
    <mergeCell ref="A129:D129"/>
    <mergeCell ref="A131:D131"/>
    <mergeCell ref="C94:C109"/>
    <mergeCell ref="A26:E26"/>
    <mergeCell ref="A33:E33"/>
    <mergeCell ref="A90:C90"/>
    <mergeCell ref="A130:C130"/>
    <mergeCell ref="A91:D91"/>
    <mergeCell ref="A92:E92"/>
    <mergeCell ref="A128:B128"/>
    <mergeCell ref="A110:B110"/>
    <mergeCell ref="D119:E119"/>
    <mergeCell ref="D124:E124"/>
    <mergeCell ref="D127:E127"/>
    <mergeCell ref="A2:B2"/>
    <mergeCell ref="D110:E110"/>
    <mergeCell ref="A4:E4"/>
    <mergeCell ref="A5:E5"/>
    <mergeCell ref="A12:E12"/>
    <mergeCell ref="A19:E19"/>
    <mergeCell ref="D93:E93"/>
    <mergeCell ref="A93:B93"/>
    <mergeCell ref="A40:E40"/>
    <mergeCell ref="A47:E47"/>
    <mergeCell ref="A54:E54"/>
    <mergeCell ref="A61:E61"/>
    <mergeCell ref="A68:E68"/>
    <mergeCell ref="A75:E75"/>
    <mergeCell ref="A82:E82"/>
  </mergeCells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8FE0-C9D2-405B-876B-6897DFD9683A}">
  <sheetPr>
    <tabColor theme="0" tint="-0.34998626667073579"/>
  </sheetPr>
  <dimension ref="A1:N43"/>
  <sheetViews>
    <sheetView zoomScaleNormal="100" workbookViewId="0">
      <selection activeCell="B2" sqref="B2"/>
    </sheetView>
  </sheetViews>
  <sheetFormatPr defaultRowHeight="12.75"/>
  <cols>
    <col min="1" max="1" width="1.42578125" style="7" customWidth="1"/>
    <col min="2" max="2" width="10" style="7" customWidth="1"/>
    <col min="3" max="3" width="9.28515625" style="7" customWidth="1"/>
    <col min="4" max="4" width="10" style="7" customWidth="1"/>
    <col min="5" max="5" width="9.28515625" style="7" customWidth="1"/>
    <col min="6" max="6" width="10" style="7" customWidth="1"/>
    <col min="7" max="7" width="9.28515625" style="7" customWidth="1"/>
    <col min="8" max="8" width="10" style="7" customWidth="1"/>
    <col min="9" max="16384" width="9.140625" style="7"/>
  </cols>
  <sheetData>
    <row r="1" spans="1:14" s="20" customFormat="1" ht="23.25" customHeight="1">
      <c r="B1" s="21" t="s">
        <v>143</v>
      </c>
    </row>
    <row r="2" spans="1:14" s="18" customFormat="1" ht="15">
      <c r="B2" s="19" t="s">
        <v>144</v>
      </c>
    </row>
    <row r="3" spans="1:14" ht="15">
      <c r="B3" s="19" t="s">
        <v>145</v>
      </c>
    </row>
    <row r="5" spans="1:14" ht="18">
      <c r="B5" s="33" t="s">
        <v>146</v>
      </c>
      <c r="C5" s="34"/>
      <c r="D5" s="34"/>
      <c r="E5" s="34"/>
      <c r="F5" s="34"/>
      <c r="G5" s="34"/>
      <c r="H5" s="34"/>
    </row>
    <row r="6" spans="1:14" ht="15">
      <c r="B6" s="19" t="s">
        <v>147</v>
      </c>
      <c r="D6" s="8"/>
      <c r="F6" s="8"/>
      <c r="H6" s="8"/>
    </row>
    <row r="7" spans="1:14">
      <c r="B7" s="17" t="s">
        <v>148</v>
      </c>
    </row>
    <row r="8" spans="1:14">
      <c r="B8" s="17" t="s">
        <v>149</v>
      </c>
    </row>
    <row r="9" spans="1:14">
      <c r="B9" s="17" t="s">
        <v>150</v>
      </c>
    </row>
    <row r="10" spans="1:14" ht="15">
      <c r="B10" s="19" t="s">
        <v>151</v>
      </c>
    </row>
    <row r="11" spans="1:14" ht="39" customHeight="1">
      <c r="B11" s="110" t="s">
        <v>152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</row>
    <row r="12" spans="1:14" ht="15">
      <c r="B12" s="19" t="s">
        <v>153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>
      <c r="B13" s="17" t="s">
        <v>154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5">
      <c r="A14" s="8"/>
      <c r="B14" s="19" t="s">
        <v>155</v>
      </c>
      <c r="C14" s="8"/>
      <c r="D14" s="8"/>
      <c r="F14" s="8"/>
      <c r="G14" s="8"/>
      <c r="H14" s="8"/>
    </row>
    <row r="15" spans="1:14">
      <c r="A15" s="8"/>
      <c r="B15" s="17" t="s">
        <v>156</v>
      </c>
      <c r="C15" s="8"/>
      <c r="D15" s="8"/>
      <c r="F15" s="8"/>
      <c r="G15" s="8"/>
      <c r="H15" s="8"/>
    </row>
    <row r="16" spans="1:14">
      <c r="B16" s="17" t="s">
        <v>157</v>
      </c>
      <c r="C16" s="4"/>
      <c r="G16" s="4"/>
    </row>
    <row r="17" spans="1:9">
      <c r="B17" s="17" t="s">
        <v>158</v>
      </c>
    </row>
    <row r="18" spans="1:9">
      <c r="A18" s="8"/>
      <c r="B18" s="17" t="s">
        <v>159</v>
      </c>
      <c r="E18" s="4"/>
    </row>
    <row r="19" spans="1:9">
      <c r="B19" s="17" t="s">
        <v>160</v>
      </c>
    </row>
    <row r="21" spans="1:9" ht="18">
      <c r="B21" s="33" t="s">
        <v>161</v>
      </c>
      <c r="D21" s="17" t="s">
        <v>162</v>
      </c>
      <c r="E21" s="17" t="s">
        <v>163</v>
      </c>
      <c r="F21" s="17" t="s">
        <v>164</v>
      </c>
      <c r="G21" s="17"/>
      <c r="H21" s="17"/>
      <c r="I21" s="17"/>
    </row>
    <row r="22" spans="1:9">
      <c r="B22" s="17"/>
      <c r="C22" s="17"/>
      <c r="D22" s="17" t="s">
        <v>165</v>
      </c>
      <c r="E22" s="17" t="s">
        <v>166</v>
      </c>
      <c r="F22" s="17">
        <f>D22*E22</f>
        <v>450</v>
      </c>
      <c r="G22" s="17"/>
      <c r="H22" s="17"/>
      <c r="I22" s="17"/>
    </row>
    <row r="23" spans="1:9">
      <c r="B23" s="17" t="s">
        <v>167</v>
      </c>
      <c r="F23" s="38">
        <f>F22*0.7*1</f>
        <v>315</v>
      </c>
    </row>
    <row r="24" spans="1:9">
      <c r="B24" s="17" t="s">
        <v>168</v>
      </c>
      <c r="F24" s="38">
        <f>F22*0.2</f>
        <v>90</v>
      </c>
    </row>
    <row r="25" spans="1:9">
      <c r="B25" s="17" t="s">
        <v>169</v>
      </c>
      <c r="F25" s="38">
        <f>F22*0.1</f>
        <v>45</v>
      </c>
    </row>
    <row r="26" spans="1:9">
      <c r="B26" s="17" t="s">
        <v>170</v>
      </c>
    </row>
    <row r="27" spans="1:9">
      <c r="B27" s="17" t="s">
        <v>171</v>
      </c>
    </row>
    <row r="28" spans="1:9">
      <c r="B28" s="17" t="s">
        <v>172</v>
      </c>
    </row>
    <row r="29" spans="1:9">
      <c r="B29" s="17" t="s">
        <v>173</v>
      </c>
    </row>
    <row r="30" spans="1:9" ht="6.75" customHeight="1"/>
    <row r="31" spans="1:9" ht="18">
      <c r="B31" s="33" t="s">
        <v>174</v>
      </c>
    </row>
    <row r="32" spans="1:9">
      <c r="B32" s="35"/>
    </row>
    <row r="33" spans="2:2">
      <c r="B33" s="17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mergeCells count="1">
    <mergeCell ref="B11:N1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909A-410A-4C9C-85E9-5D5424642086}">
  <sheetPr>
    <tabColor rgb="FF00B050"/>
  </sheetPr>
  <dimension ref="B1:T33"/>
  <sheetViews>
    <sheetView zoomScale="75" zoomScaleNormal="75" workbookViewId="0">
      <selection activeCell="V38" sqref="V38"/>
    </sheetView>
  </sheetViews>
  <sheetFormatPr defaultRowHeight="12.75"/>
  <cols>
    <col min="1" max="1" width="16.140625" customWidth="1"/>
    <col min="2" max="2" width="10" customWidth="1"/>
    <col min="3" max="3" width="10.7109375" customWidth="1"/>
    <col min="4" max="4" width="10" customWidth="1"/>
    <col min="5" max="5" width="9" customWidth="1"/>
    <col min="6" max="6" width="10" customWidth="1"/>
    <col min="7" max="7" width="9.28515625" customWidth="1"/>
    <col min="8" max="8" width="10" customWidth="1"/>
  </cols>
  <sheetData>
    <row r="1" spans="2:20" ht="18">
      <c r="B1" s="11"/>
      <c r="C1" s="11"/>
      <c r="D1" s="11"/>
      <c r="E1" s="11"/>
      <c r="F1" s="11"/>
      <c r="G1" s="11"/>
      <c r="H1" s="11"/>
    </row>
    <row r="2" spans="2:20" ht="18">
      <c r="C2" s="11"/>
      <c r="D2" s="11"/>
      <c r="E2" s="11"/>
      <c r="F2" s="11"/>
      <c r="G2" s="11"/>
      <c r="H2" s="11"/>
      <c r="R2" s="5" t="s">
        <v>175</v>
      </c>
      <c r="S2" s="5" t="s">
        <v>176</v>
      </c>
      <c r="T2" s="5"/>
    </row>
    <row r="3" spans="2:20" ht="26.25">
      <c r="B3" s="10"/>
      <c r="C3" s="42" t="str">
        <f>Tulokset!D2</f>
        <v>omanimi
tähän</v>
      </c>
      <c r="D3" s="19" t="s">
        <v>177</v>
      </c>
      <c r="E3" s="19" t="s">
        <v>178</v>
      </c>
      <c r="F3" s="19" t="s">
        <v>179</v>
      </c>
      <c r="G3" s="19" t="s">
        <v>180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32" t="e">
        <f>AVERAGE(C4:P4)</f>
        <v>#REF!</v>
      </c>
      <c r="S3" s="5" t="e">
        <f>STDEV(C4:P4)</f>
        <v>#REF!</v>
      </c>
      <c r="T3" s="5"/>
    </row>
    <row r="4" spans="2:20">
      <c r="B4" s="16"/>
      <c r="C4" s="16" t="e">
        <f>Tulokset!E131</f>
        <v>#REF!</v>
      </c>
      <c r="D4" s="16">
        <f>Tulokset!G131</f>
        <v>0</v>
      </c>
      <c r="E4" s="16">
        <f>Tulokset!I131</f>
        <v>0</v>
      </c>
      <c r="F4" s="16">
        <f>Tulokset!K131</f>
        <v>0</v>
      </c>
      <c r="G4" s="16">
        <f>Tulokset!M131</f>
        <v>0</v>
      </c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2:20">
      <c r="B5" s="13"/>
    </row>
    <row r="6" spans="2:20">
      <c r="B6" s="13"/>
    </row>
    <row r="7" spans="2:20" ht="3.75" customHeight="1"/>
    <row r="8" spans="2:20" ht="15">
      <c r="B8" s="10"/>
    </row>
    <row r="9" spans="2:20">
      <c r="B9" s="13"/>
    </row>
    <row r="10" spans="2:20">
      <c r="B10" s="13"/>
    </row>
    <row r="11" spans="2:20" ht="3.75" customHeight="1"/>
    <row r="12" spans="2:20" ht="15">
      <c r="B12" s="10"/>
      <c r="C12" s="5"/>
      <c r="D12" s="5"/>
      <c r="F12" s="5"/>
      <c r="G12" s="5"/>
      <c r="H12" s="5"/>
    </row>
    <row r="13" spans="2:20">
      <c r="B13" s="13"/>
      <c r="C13" s="1"/>
      <c r="G13" s="1"/>
    </row>
    <row r="14" spans="2:20">
      <c r="B14" s="13"/>
    </row>
    <row r="15" spans="2:20">
      <c r="B15" s="13"/>
      <c r="E15" s="1"/>
    </row>
    <row r="16" spans="2:20">
      <c r="B16" s="13"/>
    </row>
    <row r="17" spans="2:2">
      <c r="B17" s="5"/>
    </row>
    <row r="18" spans="2:2">
      <c r="B18" s="14"/>
    </row>
    <row r="19" spans="2:2">
      <c r="B19" s="14"/>
    </row>
    <row r="20" spans="2:2">
      <c r="B20" s="15"/>
    </row>
    <row r="21" spans="2:2">
      <c r="B21" s="15"/>
    </row>
    <row r="23" spans="2:2" ht="18">
      <c r="B23" s="12"/>
    </row>
    <row r="24" spans="2:2">
      <c r="B24" s="13"/>
    </row>
    <row r="25" spans="2:2">
      <c r="B25" s="13"/>
    </row>
    <row r="26" spans="2:2">
      <c r="B26" s="13"/>
    </row>
    <row r="27" spans="2:2">
      <c r="B27" s="13"/>
    </row>
    <row r="28" spans="2:2">
      <c r="B28" s="13"/>
    </row>
    <row r="29" spans="2:2">
      <c r="B29" s="13"/>
    </row>
    <row r="30" spans="2:2">
      <c r="B30" s="13"/>
    </row>
    <row r="31" spans="2:2">
      <c r="B31" s="13"/>
    </row>
    <row r="33" spans="2:2">
      <c r="B33" s="5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062E-8017-4689-8AFB-D3A7AD10BFF5}">
  <dimension ref="A2:L27"/>
  <sheetViews>
    <sheetView workbookViewId="0">
      <selection activeCell="L28" sqref="L28"/>
    </sheetView>
  </sheetViews>
  <sheetFormatPr defaultRowHeight="12.75"/>
  <cols>
    <col min="1" max="1" width="12.42578125" customWidth="1"/>
    <col min="2" max="4" width="19" customWidth="1"/>
    <col min="5" max="6" width="17.42578125" bestFit="1" customWidth="1"/>
    <col min="7" max="7" width="14.140625" bestFit="1" customWidth="1"/>
    <col min="8" max="8" width="17.7109375" customWidth="1"/>
    <col min="9" max="9" width="15.140625" bestFit="1" customWidth="1"/>
    <col min="10" max="10" width="13.28515625" customWidth="1"/>
    <col min="12" max="12" width="16.7109375" bestFit="1" customWidth="1"/>
  </cols>
  <sheetData>
    <row r="2" spans="1:12" ht="51">
      <c r="B2" s="75" t="s">
        <v>181</v>
      </c>
      <c r="C2" s="75" t="s">
        <v>182</v>
      </c>
      <c r="D2" s="75" t="s">
        <v>183</v>
      </c>
      <c r="E2" s="75" t="s">
        <v>184</v>
      </c>
      <c r="F2" s="75" t="s">
        <v>185</v>
      </c>
      <c r="G2" s="75" t="s">
        <v>186</v>
      </c>
      <c r="H2" s="75" t="s">
        <v>187</v>
      </c>
      <c r="I2" s="75" t="s">
        <v>188</v>
      </c>
      <c r="J2" s="75" t="s">
        <v>189</v>
      </c>
      <c r="K2" s="75" t="s">
        <v>190</v>
      </c>
      <c r="L2" s="75" t="s">
        <v>191</v>
      </c>
    </row>
    <row r="3" spans="1:12">
      <c r="A3" t="s">
        <v>192</v>
      </c>
      <c r="B3" s="76">
        <v>10</v>
      </c>
      <c r="C3" s="76">
        <v>24</v>
      </c>
      <c r="D3" s="76">
        <v>24</v>
      </c>
      <c r="E3" s="75" t="s">
        <v>193</v>
      </c>
      <c r="F3" s="76">
        <v>17</v>
      </c>
      <c r="G3" s="76">
        <v>16</v>
      </c>
      <c r="H3" s="76">
        <v>14</v>
      </c>
      <c r="I3" s="76">
        <v>20</v>
      </c>
      <c r="J3" s="76">
        <v>22</v>
      </c>
      <c r="K3" t="s">
        <v>193</v>
      </c>
    </row>
    <row r="4" spans="1:12">
      <c r="A4" t="s">
        <v>194</v>
      </c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 t="s">
        <v>196</v>
      </c>
      <c r="H4" t="s">
        <v>200</v>
      </c>
      <c r="I4" t="s">
        <v>197</v>
      </c>
      <c r="J4" t="s">
        <v>201</v>
      </c>
      <c r="K4" t="s">
        <v>198</v>
      </c>
    </row>
    <row r="5" spans="1:12">
      <c r="A5" t="s">
        <v>202</v>
      </c>
      <c r="B5" t="s">
        <v>201</v>
      </c>
      <c r="C5" t="s">
        <v>203</v>
      </c>
      <c r="D5" t="s">
        <v>204</v>
      </c>
      <c r="G5" t="s">
        <v>205</v>
      </c>
      <c r="H5" t="s">
        <v>206</v>
      </c>
      <c r="I5" t="s">
        <v>207</v>
      </c>
      <c r="J5" t="s">
        <v>208</v>
      </c>
    </row>
    <row r="6" spans="1:12">
      <c r="A6" t="s">
        <v>209</v>
      </c>
      <c r="B6" t="s">
        <v>210</v>
      </c>
      <c r="D6" t="s">
        <v>211</v>
      </c>
      <c r="F6" t="s">
        <v>212</v>
      </c>
      <c r="G6" t="s">
        <v>199</v>
      </c>
      <c r="H6" t="s">
        <v>213</v>
      </c>
      <c r="I6" t="s">
        <v>214</v>
      </c>
      <c r="J6" t="s">
        <v>196</v>
      </c>
    </row>
    <row r="9" spans="1:12">
      <c r="B9" t="s">
        <v>215</v>
      </c>
      <c r="C9" t="s">
        <v>216</v>
      </c>
      <c r="D9" t="s">
        <v>217</v>
      </c>
    </row>
    <row r="10" spans="1:12">
      <c r="A10" t="s">
        <v>196</v>
      </c>
      <c r="B10" s="1">
        <v>2</v>
      </c>
      <c r="C10" s="1">
        <v>0</v>
      </c>
      <c r="D10" s="1">
        <v>2</v>
      </c>
    </row>
    <row r="11" spans="1:12">
      <c r="A11" t="s">
        <v>197</v>
      </c>
      <c r="B11" s="1">
        <v>2</v>
      </c>
      <c r="C11" s="1">
        <v>0</v>
      </c>
      <c r="D11" s="1">
        <v>0</v>
      </c>
    </row>
    <row r="12" spans="1:12">
      <c r="A12" t="s">
        <v>218</v>
      </c>
      <c r="B12" s="1">
        <v>1</v>
      </c>
      <c r="C12" s="1">
        <v>1</v>
      </c>
      <c r="D12" s="1">
        <v>0</v>
      </c>
    </row>
    <row r="13" spans="1:12">
      <c r="A13" t="s">
        <v>219</v>
      </c>
      <c r="B13" s="1">
        <v>1</v>
      </c>
      <c r="C13" s="1">
        <v>0</v>
      </c>
      <c r="D13" s="1">
        <v>1</v>
      </c>
    </row>
    <row r="14" spans="1:12">
      <c r="A14" t="s">
        <v>220</v>
      </c>
      <c r="B14" s="1">
        <v>1</v>
      </c>
      <c r="C14" s="1">
        <v>0</v>
      </c>
      <c r="D14" s="1">
        <v>1</v>
      </c>
    </row>
    <row r="15" spans="1:12">
      <c r="A15" t="s">
        <v>200</v>
      </c>
      <c r="B15" s="1">
        <v>1</v>
      </c>
      <c r="C15" s="1">
        <v>0</v>
      </c>
      <c r="D15" s="1">
        <v>0</v>
      </c>
    </row>
    <row r="16" spans="1:12">
      <c r="A16" t="s">
        <v>195</v>
      </c>
      <c r="B16" s="1">
        <v>1</v>
      </c>
      <c r="C16" s="1">
        <v>0</v>
      </c>
      <c r="D16" s="1">
        <v>0</v>
      </c>
    </row>
    <row r="17" spans="1:4">
      <c r="A17" t="s">
        <v>207</v>
      </c>
      <c r="B17" s="1">
        <v>0</v>
      </c>
      <c r="C17" s="1">
        <v>2</v>
      </c>
      <c r="D17" s="1">
        <v>0</v>
      </c>
    </row>
    <row r="18" spans="1:4">
      <c r="A18" t="s">
        <v>221</v>
      </c>
      <c r="B18" s="1">
        <v>0</v>
      </c>
      <c r="C18" s="1">
        <v>1</v>
      </c>
      <c r="D18" s="1">
        <v>0</v>
      </c>
    </row>
    <row r="19" spans="1:4">
      <c r="A19" t="s">
        <v>204</v>
      </c>
      <c r="B19" s="1">
        <v>0</v>
      </c>
      <c r="C19" s="1">
        <v>1</v>
      </c>
      <c r="D19" s="1">
        <v>0</v>
      </c>
    </row>
    <row r="20" spans="1:4">
      <c r="A20" t="s">
        <v>222</v>
      </c>
      <c r="B20" s="1">
        <v>0</v>
      </c>
      <c r="C20" s="1">
        <v>1</v>
      </c>
      <c r="D20" s="1">
        <v>0</v>
      </c>
    </row>
    <row r="21" spans="1:4">
      <c r="A21" t="s">
        <v>223</v>
      </c>
      <c r="B21" s="1">
        <v>0</v>
      </c>
      <c r="C21" s="1">
        <v>1</v>
      </c>
      <c r="D21" s="1">
        <v>0</v>
      </c>
    </row>
    <row r="22" spans="1:4">
      <c r="A22" t="s">
        <v>224</v>
      </c>
      <c r="B22" s="1">
        <v>0</v>
      </c>
      <c r="C22" s="1">
        <v>1</v>
      </c>
      <c r="D22" s="1">
        <v>0</v>
      </c>
    </row>
    <row r="23" spans="1:4">
      <c r="A23" t="s">
        <v>210</v>
      </c>
      <c r="B23" s="1">
        <v>0</v>
      </c>
      <c r="C23" s="1">
        <v>0</v>
      </c>
      <c r="D23" s="1">
        <v>1</v>
      </c>
    </row>
    <row r="24" spans="1:4">
      <c r="A24" t="s">
        <v>225</v>
      </c>
      <c r="B24" s="1">
        <v>0</v>
      </c>
      <c r="C24" s="1">
        <v>0</v>
      </c>
      <c r="D24" s="1">
        <v>1</v>
      </c>
    </row>
    <row r="25" spans="1:4">
      <c r="A25" t="s">
        <v>226</v>
      </c>
      <c r="B25" s="1">
        <v>0</v>
      </c>
      <c r="C25" s="1">
        <v>0</v>
      </c>
      <c r="D25" s="1">
        <v>1</v>
      </c>
    </row>
    <row r="26" spans="1:4">
      <c r="A26" t="s">
        <v>213</v>
      </c>
      <c r="B26" s="1">
        <v>0</v>
      </c>
      <c r="C26" s="1">
        <v>0</v>
      </c>
      <c r="D26" s="1">
        <v>1</v>
      </c>
    </row>
    <row r="27" spans="1:4">
      <c r="A27" t="s">
        <v>214</v>
      </c>
      <c r="B27" s="1">
        <v>0</v>
      </c>
      <c r="C27" s="1">
        <v>0</v>
      </c>
      <c r="D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Jyri-Pekka Multanen</dc:creator>
  <cp:keywords/>
  <dc:description/>
  <cp:lastModifiedBy>Jyri-Pekka Multanen</cp:lastModifiedBy>
  <cp:revision>1</cp:revision>
  <dcterms:created xsi:type="dcterms:W3CDTF">2006-05-10T19:04:16Z</dcterms:created>
  <dcterms:modified xsi:type="dcterms:W3CDTF">2026-06-08T15:45:27Z</dcterms:modified>
  <cp:category/>
  <cp:contentStatus/>
</cp:coreProperties>
</file>