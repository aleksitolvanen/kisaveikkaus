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995" yWindow="1410" windowWidth="21600" windowHeight="11385" tabRatio="612" firstSheet="0" activeTab="0" autoFilterDateGrouping="1"/>
  </bookViews>
  <sheets>
    <sheet name="Tulokset" sheetId="1" state="visible" r:id="rId1"/>
    <sheet name="Säännöt&amp;Ohjeet" sheetId="2" state="visible" r:id="rId2"/>
    <sheet name="Pistetilanne" sheetId="3" state="visible" r:id="rId3"/>
    <sheet name="Veikkaajien tilastot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8"/>
    </font>
    <font>
      <name val="Arial"/>
      <family val="2"/>
      <b val="1"/>
      <sz val="18"/>
    </font>
    <font>
      <name val="Arial"/>
      <family val="2"/>
      <sz val="12"/>
    </font>
    <font>
      <name val="Arial"/>
      <family val="2"/>
      <sz val="14"/>
    </font>
    <font>
      <name val="Arial"/>
      <family val="2"/>
      <sz val="9"/>
    </font>
    <font>
      <name val="Arial"/>
      <color rgb="FF000000"/>
      <sz val="11"/>
    </font>
    <font>
      <name val="Arial"/>
      <color rgb="FF000000"/>
      <sz val="9"/>
    </font>
  </fonts>
  <fills count="8">
    <fill>
      <patternFill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29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49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8"/>
      </right>
      <top/>
      <bottom style="double">
        <color indexed="64"/>
      </bottom>
      <diagonal/>
    </border>
    <border>
      <left/>
      <right style="double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double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double">
        <color theme="1"/>
      </right>
      <top/>
      <bottom style="thin">
        <color theme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uble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8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theme="1"/>
      </right>
      <top/>
      <bottom/>
      <diagonal/>
    </border>
  </borders>
  <cellStyleXfs count="2">
    <xf numFmtId="0" fontId="0" fillId="0" borderId="0"/>
    <xf numFmtId="0" fontId="3" fillId="0" borderId="0"/>
  </cellStyleXfs>
  <cellXfs count="12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49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2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0" borderId="3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justify" wrapText="1"/>
    </xf>
    <xf numFmtId="0" fontId="4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49" fontId="3" fillId="0" borderId="0" pivotButton="0" quotePrefix="0" xfId="0"/>
    <xf numFmtId="49" fontId="6" fillId="0" borderId="0" pivotButton="0" quotePrefix="0" xfId="0"/>
    <xf numFmtId="49" fontId="5" fillId="0" borderId="0" pivotButton="0" quotePrefix="0" xfId="0"/>
    <xf numFmtId="49" fontId="7" fillId="0" borderId="0" pivotButton="0" quotePrefix="0" xfId="0"/>
    <xf numFmtId="49" fontId="8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" fontId="5" fillId="6" borderId="0" applyAlignment="1" pivotButton="0" quotePrefix="1" xfId="0">
      <alignment horizontal="center" vertical="center" wrapText="1"/>
    </xf>
    <xf numFmtId="0" fontId="3" fillId="0" borderId="7" applyAlignment="1" pivotButton="0" quotePrefix="0" xfId="0">
      <alignment vertical="center"/>
    </xf>
    <xf numFmtId="0" fontId="0" fillId="0" borderId="12" pivotButton="0" quotePrefix="0" xfId="0"/>
    <xf numFmtId="49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1" fontId="1" fillId="0" borderId="0" pivotButton="0" quotePrefix="0" xfId="0"/>
    <xf numFmtId="49" fontId="4" fillId="0" borderId="0" pivotButton="0" quotePrefix="0" xfId="0"/>
    <xf numFmtId="49" fontId="4" fillId="0" borderId="0" applyAlignment="1" pivotButton="0" quotePrefix="0" xfId="0">
      <alignment vertical="justify" wrapText="1"/>
    </xf>
    <xf numFmtId="49" fontId="3" fillId="0" borderId="0" pivotButton="0" quotePrefix="1" xfId="0"/>
    <xf numFmtId="0" fontId="3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horizontal="left" wrapText="1"/>
    </xf>
    <xf numFmtId="2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49" fontId="2" fillId="0" borderId="16" applyAlignment="1" pivotButton="0" quotePrefix="0" xfId="0">
      <alignment horizontal="center" vertical="center" wrapText="1"/>
    </xf>
    <xf numFmtId="49" fontId="1" fillId="0" borderId="16" applyAlignment="1" pivotButton="0" quotePrefix="0" xfId="0">
      <alignment horizontal="center" vertical="center" wrapText="1"/>
    </xf>
    <xf numFmtId="1" fontId="9" fillId="0" borderId="17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/>
    </xf>
    <xf numFmtId="0" fontId="3" fillId="0" borderId="19" pivotButton="0" quotePrefix="0" xfId="0"/>
    <xf numFmtId="49" fontId="3" fillId="0" borderId="19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6" fillId="0" borderId="22" applyAlignment="1" pivotButton="0" quotePrefix="0" xfId="0">
      <alignment vertical="center" wrapText="1"/>
    </xf>
    <xf numFmtId="49" fontId="5" fillId="6" borderId="22" applyAlignment="1" pivotButton="0" quotePrefix="1" xfId="0">
      <alignment horizontal="center" vertical="center" wrapText="1"/>
    </xf>
    <xf numFmtId="49" fontId="3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0" fontId="0" fillId="0" borderId="23" pivotButton="0" quotePrefix="0" xfId="0"/>
    <xf numFmtId="0" fontId="9" fillId="0" borderId="16" applyAlignment="1" pivotButton="0" quotePrefix="0" xfId="0">
      <alignment vertical="center" wrapText="1"/>
    </xf>
    <xf numFmtId="1" fontId="4" fillId="0" borderId="8" applyAlignment="1" pivotButton="0" quotePrefix="0" xfId="0">
      <alignment horizontal="center" vertical="center"/>
    </xf>
    <xf numFmtId="1" fontId="0" fillId="0" borderId="25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6" fillId="0" borderId="26" applyAlignment="1" pivotButton="0" quotePrefix="0" xfId="0">
      <alignment vertical="center" wrapText="1"/>
    </xf>
    <xf numFmtId="49" fontId="5" fillId="6" borderId="26" applyAlignment="1" pivotButton="0" quotePrefix="1" xfId="0">
      <alignment horizontal="center" vertical="center" wrapText="1"/>
    </xf>
    <xf numFmtId="1" fontId="4" fillId="0" borderId="29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4" applyAlignment="1" pivotButton="0" quotePrefix="0" xfId="0">
      <alignment horizontal="center" vertical="center" wrapText="1"/>
    </xf>
    <xf numFmtId="49" fontId="3" fillId="0" borderId="5" applyAlignment="1" pivotButton="0" quotePrefix="0" xfId="0">
      <alignment horizontal="center" vertical="center" wrapText="1"/>
    </xf>
    <xf numFmtId="1" fontId="9" fillId="0" borderId="30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4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" fontId="2" fillId="0" borderId="29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49" fontId="3" fillId="6" borderId="12" applyAlignment="1" pivotButton="0" quotePrefix="0" xfId="0">
      <alignment horizontal="center"/>
    </xf>
    <xf numFmtId="49" fontId="3" fillId="6" borderId="11" applyAlignment="1" pivotButton="0" quotePrefix="0" xfId="0">
      <alignment horizontal="center"/>
    </xf>
    <xf numFmtId="49" fontId="3" fillId="6" borderId="26" applyAlignment="1" pivotButton="0" quotePrefix="0" xfId="0">
      <alignment horizontal="center"/>
    </xf>
    <xf numFmtId="49" fontId="3" fillId="6" borderId="27" applyAlignment="1" pivotButton="0" quotePrefix="0" xfId="0">
      <alignment horizontal="center"/>
    </xf>
    <xf numFmtId="0" fontId="5" fillId="7" borderId="10" applyAlignment="1" pivotButton="0" quotePrefix="0" xfId="0">
      <alignment horizontal="center" vertical="center" wrapText="1"/>
    </xf>
    <xf numFmtId="0" fontId="5" fillId="7" borderId="9" applyAlignment="1" pivotButton="0" quotePrefix="0" xfId="0">
      <alignment horizontal="center" vertical="center" wrapText="1"/>
    </xf>
    <xf numFmtId="49" fontId="3" fillId="0" borderId="12" applyAlignment="1" pivotButton="0" quotePrefix="0" xfId="0">
      <alignment horizontal="left" vertical="center" wrapText="1"/>
    </xf>
    <xf numFmtId="49" fontId="2" fillId="0" borderId="2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right" vertical="center" wrapText="1"/>
    </xf>
    <xf numFmtId="0" fontId="6" fillId="0" borderId="5" applyAlignment="1" pivotButton="0" quotePrefix="0" xfId="0">
      <alignment horizontal="right" vertical="center" wrapText="1"/>
    </xf>
    <xf numFmtId="49" fontId="3" fillId="0" borderId="24" applyAlignment="1" pivotButton="0" quotePrefix="0" xfId="0">
      <alignment horizontal="right" vertical="center" wrapText="1"/>
    </xf>
    <xf numFmtId="0" fontId="1" fillId="0" borderId="19" applyAlignment="1" pivotButton="0" quotePrefix="0" xfId="0">
      <alignment horizontal="center" vertical="center" wrapText="1"/>
    </xf>
    <xf numFmtId="49" fontId="3" fillId="0" borderId="26" applyAlignment="1" pivotButton="0" quotePrefix="0" xfId="0">
      <alignment horizontal="left" vertical="center" wrapText="1"/>
    </xf>
    <xf numFmtId="0" fontId="5" fillId="3" borderId="22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 wrapText="1"/>
    </xf>
    <xf numFmtId="0" fontId="1" fillId="5" borderId="26" applyAlignment="1" pivotButton="0" quotePrefix="0" xfId="0">
      <alignment horizontal="center" vertical="center" wrapText="1"/>
    </xf>
    <xf numFmtId="0" fontId="1" fillId="5" borderId="27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5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7" pivotButton="0" quotePrefix="0" xfId="0"/>
  </cellXfs>
  <cellStyles count="2">
    <cellStyle name="Normaali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E242"/>
  <sheetViews>
    <sheetView tabSelected="1" zoomScale="70" zoomScaleNormal="70" workbookViewId="0">
      <pane ySplit="2" topLeftCell="A120" activePane="bottomLeft" state="frozen"/>
      <selection pane="bottomLeft" activeCell="C53" sqref="C53"/>
    </sheetView>
  </sheetViews>
  <sheetFormatPr baseColWidth="8" defaultRowHeight="12.75"/>
  <cols>
    <col width="15" bestFit="1" customWidth="1" style="6" min="1" max="1"/>
    <col width="12.42578125" bestFit="1" customWidth="1" min="2" max="2"/>
    <col width="11.28515625" customWidth="1" style="1" min="3" max="3"/>
    <col width="11.140625" customWidth="1" style="2" min="4" max="4"/>
    <col width="15.85546875" customWidth="1" style="3" min="5" max="5"/>
  </cols>
  <sheetData>
    <row r="1" ht="12" customHeight="1">
      <c r="D1" s="5" t="n"/>
    </row>
    <row r="2" ht="51.75" customFormat="1" customHeight="1" s="60">
      <c r="A2" s="82" t="inlineStr">
        <is>
          <t>OTTELU</t>
        </is>
      </c>
      <c r="B2" s="111" t="n"/>
      <c r="C2" s="43" t="inlineStr">
        <is>
          <t>TULOS</t>
        </is>
      </c>
      <c r="D2" s="44" t="inlineStr">
        <is>
          <t>AleksiTo</t>
        </is>
      </c>
      <c r="E2" s="45" t="inlineStr">
        <is>
          <t>p</t>
        </is>
      </c>
    </row>
    <row r="3" ht="69.75" customFormat="1" customHeight="1" s="41">
      <c r="A3" s="80" t="inlineStr">
        <is>
          <t>Otteluohjelma laadittu Chat GPT:llä, ajankohdissa virheitä</t>
        </is>
      </c>
      <c r="B3" s="69" t="n"/>
      <c r="C3" s="40" t="n"/>
      <c r="D3" s="70" t="inlineStr">
        <is>
          <t>Omat veikkaukset tähän sarak-
keeseen</t>
        </is>
      </c>
      <c r="E3" s="73" t="n"/>
    </row>
    <row r="4" ht="28.5" customFormat="1" customHeight="1" s="41">
      <c r="A4" s="87" t="inlineStr">
        <is>
          <t>Lohkovaihe</t>
        </is>
      </c>
      <c r="B4" s="112" t="n"/>
      <c r="C4" s="112" t="n"/>
      <c r="D4" s="112" t="n"/>
      <c r="E4" s="113" t="n"/>
    </row>
    <row r="5" customFormat="1" s="29">
      <c r="A5" s="89" t="inlineStr">
        <is>
          <t xml:space="preserve"> LOHKO A</t>
        </is>
      </c>
      <c r="B5" s="29" t="n"/>
      <c r="C5" s="29" t="n"/>
      <c r="D5" s="29" t="n"/>
      <c r="E5" s="114" t="n"/>
    </row>
    <row r="6">
      <c r="A6" t="inlineStr">
        <is>
          <t>to 11.6 klo 19:00</t>
        </is>
      </c>
      <c r="B6" s="13" t="inlineStr">
        <is>
          <t>MEX-RSA</t>
        </is>
      </c>
      <c r="C6" s="46" t="n"/>
      <c r="D6" s="46" t="inlineStr">
        <is>
          <t>2-0</t>
        </is>
      </c>
      <c r="E6" s="31">
        <f>IF(EXACT($C6,D6),3,IF($C6=0,0,IF(SIGN((LEFT($C6,1))-(RIGHT($C6,1)))=SIGN((LEFT(D6,1))-(RIGHT(D6,1))),1,0)))</f>
        <v/>
      </c>
    </row>
    <row r="7">
      <c r="A7" t="inlineStr">
        <is>
          <t>to 11.6 klo 22:00</t>
        </is>
      </c>
      <c r="B7" s="13" t="inlineStr">
        <is>
          <t>KOR-CZE</t>
        </is>
      </c>
      <c r="C7" s="46" t="inlineStr">
        <is>
          <t>2-1</t>
        </is>
      </c>
      <c r="D7" s="46" t="inlineStr">
        <is>
          <t>1-1</t>
        </is>
      </c>
      <c r="E7" s="31">
        <f>IF(EXACT($C7,D7),3,IF($C7=0,0,IF(SIGN((LEFT($C7,1))-(RIGHT($C7,1)))=SIGN((LEFT(D7,1))-(RIGHT(D7,1))),1,0)))</f>
        <v/>
      </c>
    </row>
    <row r="8">
      <c r="A8" t="inlineStr">
        <is>
          <t>ti 16.6 klo 21:00</t>
        </is>
      </c>
      <c r="B8" s="13" t="inlineStr">
        <is>
          <t>MEX-KOR</t>
        </is>
      </c>
      <c r="C8" s="46" t="inlineStr">
        <is>
          <t>0-2</t>
        </is>
      </c>
      <c r="D8" s="46" t="inlineStr">
        <is>
          <t>1-1</t>
        </is>
      </c>
      <c r="E8" s="31">
        <f>IF(EXACT($C8,D8),3,IF($C8=0,0,IF(SIGN((LEFT($C8,1))-(RIGHT($C8,1)))=SIGN((LEFT(D8,1))-(RIGHT(D8,1))),1,0)))</f>
        <v/>
      </c>
    </row>
    <row r="9">
      <c r="A9" t="inlineStr">
        <is>
          <t>ti 16.6 klo 00:00</t>
        </is>
      </c>
      <c r="B9" s="13" t="inlineStr">
        <is>
          <t>CZE-RSA</t>
        </is>
      </c>
      <c r="C9" s="46" t="inlineStr">
        <is>
          <t>1-0</t>
        </is>
      </c>
      <c r="D9" s="46" t="inlineStr">
        <is>
          <t>2-1</t>
        </is>
      </c>
      <c r="E9" s="31">
        <f>IF(EXACT($C9,D9),3,IF($C9=0,0,IF(SIGN((LEFT($C9,1))-(RIGHT($C9,1)))=SIGN((LEFT(D9,1))-(RIGHT(D9,1))),1,0)))</f>
        <v/>
      </c>
    </row>
    <row r="10">
      <c r="A10" t="inlineStr">
        <is>
          <t>su 21.6 klo 18:00</t>
        </is>
      </c>
      <c r="B10" s="13" t="inlineStr">
        <is>
          <t>RSA-KOR</t>
        </is>
      </c>
      <c r="C10" s="46" t="n"/>
      <c r="D10" s="46" t="inlineStr">
        <is>
          <t>0-2</t>
        </is>
      </c>
      <c r="E10" s="31">
        <f>IF(EXACT($C10,D10),3,IF($C10=0,0,IF(SIGN((LEFT($C10,1))-(RIGHT($C10,1)))=SIGN((LEFT(D10,1))-(RIGHT(D10,1))),1,0)))</f>
        <v/>
      </c>
    </row>
    <row r="11">
      <c r="A11" t="inlineStr">
        <is>
          <t>su 21.6 klo 18:00</t>
        </is>
      </c>
      <c r="B11" s="47" t="inlineStr">
        <is>
          <t>CZE-MEX</t>
        </is>
      </c>
      <c r="C11" s="48" t="n"/>
      <c r="D11" s="48" t="inlineStr">
        <is>
          <t>1-2</t>
        </is>
      </c>
      <c r="E11" s="74">
        <f>IF(EXACT($C11,D11),3,IF($C11=0,0,IF(SIGN((LEFT($C11,1))-(RIGHT($C11,1)))=SIGN((LEFT(D11,1))-(RIGHT(D11,1))),1,0)))</f>
        <v/>
      </c>
    </row>
    <row r="12" customFormat="1" s="22">
      <c r="A12" s="91" t="inlineStr">
        <is>
          <t>LOHKO B</t>
        </is>
      </c>
      <c r="B12" s="115" t="n"/>
      <c r="C12" s="115" t="n"/>
      <c r="D12" s="115" t="n"/>
      <c r="E12" s="116" t="n"/>
    </row>
    <row r="13">
      <c r="A13" s="30" t="inlineStr">
        <is>
          <t>pe 12.6 klo 19:00</t>
        </is>
      </c>
      <c r="B13" s="13" t="inlineStr">
        <is>
          <t>CAN-BIH</t>
        </is>
      </c>
      <c r="C13" s="46" t="n"/>
      <c r="D13" s="46" t="inlineStr">
        <is>
          <t>1-1</t>
        </is>
      </c>
      <c r="E13" s="31">
        <f>IF(EXACT($C13,D13),3,IF($C13=0,0,IF(SIGN((LEFT($C13,1))-(RIGHT($C13,1)))=SIGN((LEFT(D13,1))-(RIGHT(D13,1))),1,0)))</f>
        <v/>
      </c>
    </row>
    <row r="14">
      <c r="A14" s="30" t="inlineStr">
        <is>
          <t>pe 12.6 klo 22:00</t>
        </is>
      </c>
      <c r="B14" s="13" t="inlineStr">
        <is>
          <t>QAT-SUI</t>
        </is>
      </c>
      <c r="C14" s="46" t="n"/>
      <c r="D14" s="46" t="inlineStr">
        <is>
          <t>0-2</t>
        </is>
      </c>
      <c r="E14" s="31">
        <f>IF(EXACT($C14,D14),3,IF($C14=0,0,IF(SIGN((LEFT($C14,1))-(RIGHT($C14,1)))=SIGN((LEFT(D14,1))-(RIGHT(D14,1))),1,0)))</f>
        <v/>
      </c>
    </row>
    <row r="15">
      <c r="A15" s="30" t="inlineStr">
        <is>
          <t>ke 17.6 klo 21:00</t>
        </is>
      </c>
      <c r="B15" s="13" t="inlineStr">
        <is>
          <t>CAN-QAT</t>
        </is>
      </c>
      <c r="C15" s="46" t="n"/>
      <c r="D15" s="46" t="inlineStr">
        <is>
          <t>2-0</t>
        </is>
      </c>
      <c r="E15" s="31">
        <f>IF(EXACT($C15,D15),3,IF($C15=0,0,IF(SIGN((LEFT($C15,1))-(RIGHT($C15,1)))=SIGN((LEFT(D15,1))-(RIGHT(D15,1))),1,0)))</f>
        <v/>
      </c>
    </row>
    <row r="16">
      <c r="A16" s="30" t="inlineStr">
        <is>
          <t>ke 17.6 klo 00:00</t>
        </is>
      </c>
      <c r="B16" s="13" t="inlineStr">
        <is>
          <t>SUI-BIH</t>
        </is>
      </c>
      <c r="C16" s="46" t="n"/>
      <c r="D16" s="46" t="inlineStr">
        <is>
          <t>1-0</t>
        </is>
      </c>
      <c r="E16" s="31">
        <f>IF(EXACT($C16,D16),3,IF($C16=0,0,IF(SIGN((LEFT($C16,1))-(RIGHT($C16,1)))=SIGN((LEFT(D16,1))-(RIGHT(D16,1))),1,0)))</f>
        <v/>
      </c>
    </row>
    <row r="17">
      <c r="A17" s="30" t="inlineStr">
        <is>
          <t>ma 22.6 klo 21:00</t>
        </is>
      </c>
      <c r="B17" s="13" t="inlineStr">
        <is>
          <t>SUI-CAN</t>
        </is>
      </c>
      <c r="C17" s="46" t="n"/>
      <c r="D17" s="46" t="inlineStr">
        <is>
          <t>2-1</t>
        </is>
      </c>
      <c r="E17" s="31">
        <f>IF(EXACT($C17,D17),3,IF($C17=0,0,IF(SIGN((LEFT($C17,1))-(RIGHT($C17,1)))=SIGN((LEFT(D17,1))-(RIGHT(D17,1))),1,0)))</f>
        <v/>
      </c>
    </row>
    <row r="18">
      <c r="A18" s="30" t="inlineStr">
        <is>
          <t>ma 22.6 klo 21:00</t>
        </is>
      </c>
      <c r="B18" s="47" t="inlineStr">
        <is>
          <t>BIH-QAT</t>
        </is>
      </c>
      <c r="C18" s="48" t="n"/>
      <c r="D18" s="48" t="inlineStr">
        <is>
          <t>2-1</t>
        </is>
      </c>
      <c r="E18" s="74">
        <f>IF(EXACT($C18,D18),3,IF($C18=0,0,IF(SIGN((LEFT($C18,1))-(RIGHT($C18,1)))=SIGN((LEFT(D18,1))-(RIGHT(D18,1))),1,0)))</f>
        <v/>
      </c>
    </row>
    <row r="19" customFormat="1" s="22">
      <c r="A19" s="91" t="inlineStr">
        <is>
          <t>LOHKO C</t>
        </is>
      </c>
      <c r="B19" s="115" t="n"/>
      <c r="C19" s="115" t="n"/>
      <c r="D19" s="115" t="n"/>
      <c r="E19" s="116" t="n"/>
    </row>
    <row r="20">
      <c r="A20" s="30" t="inlineStr">
        <is>
          <t>la 13.6 klo 19:00</t>
        </is>
      </c>
      <c r="B20" s="13" t="inlineStr">
        <is>
          <t>BRA-MAR</t>
        </is>
      </c>
      <c r="C20" s="46" t="n"/>
      <c r="D20" s="46" t="inlineStr">
        <is>
          <t>1-1</t>
        </is>
      </c>
      <c r="E20" s="31">
        <f>IF(EXACT($C20,D20),3,IF($C20=0,0,IF(SIGN((LEFT($C20,1))-(RIGHT($C20,1)))=SIGN((LEFT(D20,1))-(RIGHT(D20,1))),1,0)))</f>
        <v/>
      </c>
    </row>
    <row r="21">
      <c r="A21" s="30" t="inlineStr">
        <is>
          <t>la 13.6 klo 22:00</t>
        </is>
      </c>
      <c r="B21" s="13" t="inlineStr">
        <is>
          <t>HAI-SCO</t>
        </is>
      </c>
      <c r="C21" s="46" t="n"/>
      <c r="D21" s="46" t="inlineStr">
        <is>
          <t>1-2</t>
        </is>
      </c>
      <c r="E21" s="31">
        <f>IF(EXACT($C21,D21),3,IF($C21=0,0,IF(SIGN((LEFT($C21,1))-(RIGHT($C21,1)))=SIGN((LEFT(D21,1))-(RIGHT(D21,1))),1,0)))</f>
        <v/>
      </c>
    </row>
    <row r="22">
      <c r="A22" s="30" t="inlineStr">
        <is>
          <t>to 18.6 klo 21:00</t>
        </is>
      </c>
      <c r="B22" s="13" t="inlineStr">
        <is>
          <t>SCO-MAR</t>
        </is>
      </c>
      <c r="C22" s="46" t="n"/>
      <c r="D22" s="46" t="inlineStr">
        <is>
          <t>1-2</t>
        </is>
      </c>
      <c r="E22" s="31">
        <f>IF(EXACT($C22,D22),3,IF($C22=0,0,IF(SIGN((LEFT($C22,1))-(RIGHT($C22,1)))=SIGN((LEFT(D22,1))-(RIGHT(D22,1))),1,0)))</f>
        <v/>
      </c>
    </row>
    <row r="23">
      <c r="A23" s="30" t="inlineStr">
        <is>
          <t>to 18.6 klo 21:00</t>
        </is>
      </c>
      <c r="B23" s="13" t="inlineStr">
        <is>
          <t>BRA-HAI</t>
        </is>
      </c>
      <c r="C23" s="46" t="n"/>
      <c r="D23" s="46" t="inlineStr">
        <is>
          <t>3-0</t>
        </is>
      </c>
      <c r="E23" s="31">
        <f>IF(EXACT($C23,D23),3,IF($C23=0,0,IF(SIGN((LEFT($C23,1))-(RIGHT($C23,1)))=SIGN((LEFT(D23,1))-(RIGHT(D23,1))),1,0)))</f>
        <v/>
      </c>
    </row>
    <row r="24">
      <c r="A24" s="30" t="inlineStr">
        <is>
          <t>ti 23.6 klo 21:00</t>
        </is>
      </c>
      <c r="B24" s="13" t="inlineStr">
        <is>
          <t>SCO-BRA</t>
        </is>
      </c>
      <c r="C24" s="46" t="n"/>
      <c r="D24" s="46" t="inlineStr">
        <is>
          <t>0-2</t>
        </is>
      </c>
      <c r="E24" s="31">
        <f>IF(EXACT($C24,D24),3,IF($C24=0,0,IF(SIGN((LEFT($C24,1))-(RIGHT($C24,1)))=SIGN((LEFT(D24,1))-(RIGHT(D24,1))),1,0)))</f>
        <v/>
      </c>
    </row>
    <row r="25">
      <c r="A25" s="30" t="inlineStr">
        <is>
          <t>ti 23.6 klo 21:00</t>
        </is>
      </c>
      <c r="B25" s="47" t="inlineStr">
        <is>
          <t>MAR-HAI</t>
        </is>
      </c>
      <c r="C25" s="48" t="n"/>
      <c r="D25" s="48" t="inlineStr">
        <is>
          <t>2-0</t>
        </is>
      </c>
      <c r="E25" s="74">
        <f>IF(EXACT($C25,D25),3,IF($C25=0,0,IF(SIGN((LEFT($C25,1))-(RIGHT($C25,1)))=SIGN((LEFT(D25,1))-(RIGHT(D25,1))),1,0)))</f>
        <v/>
      </c>
    </row>
    <row r="26" customFormat="1" s="22">
      <c r="A26" s="91" t="inlineStr">
        <is>
          <t>LOHKO D</t>
        </is>
      </c>
      <c r="B26" s="115" t="n"/>
      <c r="C26" s="115" t="n"/>
      <c r="D26" s="115" t="n"/>
      <c r="E26" s="116" t="n"/>
    </row>
    <row r="27">
      <c r="A27" s="30" t="inlineStr">
        <is>
          <t>pe 12.6 klo 22:00</t>
        </is>
      </c>
      <c r="B27" s="13" t="inlineStr">
        <is>
          <t>USA-PAR</t>
        </is>
      </c>
      <c r="C27" s="46" t="n"/>
      <c r="D27" s="46" t="inlineStr">
        <is>
          <t>2-1</t>
        </is>
      </c>
      <c r="E27" s="31">
        <f>IF(EXACT($C27,D27),3,IF($C27=0,0,IF(SIGN((LEFT($C27,1))-(RIGHT($C27,1)))=SIGN((LEFT(D27,1))-(RIGHT(D27,1))),1,0)))</f>
        <v/>
      </c>
    </row>
    <row r="28">
      <c r="A28" s="30" t="inlineStr">
        <is>
          <t>pe 12.6 klo 19:00</t>
        </is>
      </c>
      <c r="B28" s="13" t="inlineStr">
        <is>
          <t>AUS-TUR</t>
        </is>
      </c>
      <c r="C28" s="46" t="n"/>
      <c r="D28" s="46" t="inlineStr">
        <is>
          <t>1-2</t>
        </is>
      </c>
      <c r="E28" s="31">
        <f>IF(EXACT($C28,D28),3,IF($C28=0,0,IF(SIGN((LEFT($C28,1))-(RIGHT($C28,1)))=SIGN((LEFT(D28,1))-(RIGHT(D28,1))),1,0)))</f>
        <v/>
      </c>
    </row>
    <row r="29">
      <c r="A29" s="30" t="inlineStr">
        <is>
          <t>ke 17.6 klo 21:00</t>
        </is>
      </c>
      <c r="B29" s="13" t="inlineStr">
        <is>
          <t>USA-AUS</t>
        </is>
      </c>
      <c r="C29" s="46" t="n"/>
      <c r="D29" s="46" t="inlineStr">
        <is>
          <t>2-0</t>
        </is>
      </c>
      <c r="E29" s="31">
        <f>IF(EXACT($C29,D29),3,IF($C29=0,0,IF(SIGN((LEFT($C29,1))-(RIGHT($C29,1)))=SIGN((LEFT(D29,1))-(RIGHT(D29,1))),1,0)))</f>
        <v/>
      </c>
    </row>
    <row r="30">
      <c r="A30" s="30" t="inlineStr">
        <is>
          <t>ke 17.6 klo 21:00</t>
        </is>
      </c>
      <c r="B30" s="13" t="inlineStr">
        <is>
          <t>TUR-PAR</t>
        </is>
      </c>
      <c r="C30" s="46" t="n"/>
      <c r="D30" s="46" t="inlineStr">
        <is>
          <t>2-1</t>
        </is>
      </c>
      <c r="E30" s="31">
        <f>IF(EXACT($C30,D30),3,IF($C30=0,0,IF(SIGN((LEFT($C30,1))-(RIGHT($C30,1)))=SIGN((LEFT(D30,1))-(RIGHT(D30,1))),1,0)))</f>
        <v/>
      </c>
    </row>
    <row r="31">
      <c r="A31" s="30" t="inlineStr">
        <is>
          <t>ma 22.6 klo 21:00</t>
        </is>
      </c>
      <c r="B31" s="13" t="inlineStr">
        <is>
          <t>TUR-USA</t>
        </is>
      </c>
      <c r="C31" s="46" t="n"/>
      <c r="D31" s="46" t="inlineStr">
        <is>
          <t>1-1</t>
        </is>
      </c>
      <c r="E31" s="31">
        <f>IF(EXACT($C31,D31),3,IF($C31=0,0,IF(SIGN((LEFT($C31,1))-(RIGHT($C31,1)))=SIGN((LEFT(D31,1))-(RIGHT(D31,1))),1,0)))</f>
        <v/>
      </c>
    </row>
    <row r="32">
      <c r="A32" s="30" t="inlineStr">
        <is>
          <t>ma 22.6 klo 21:00</t>
        </is>
      </c>
      <c r="B32" s="13" t="inlineStr">
        <is>
          <t>PAR-AUS</t>
        </is>
      </c>
      <c r="C32" s="48" t="n"/>
      <c r="D32" s="48" t="inlineStr">
        <is>
          <t>1-1</t>
        </is>
      </c>
      <c r="E32" s="31">
        <f>IF(EXACT($C32,D32),3,IF($C32=0,0,IF(SIGN((LEFT($C32,1))-(RIGHT($C32,1)))=SIGN((LEFT(D32,1))-(RIGHT(D32,1))),1,0)))</f>
        <v/>
      </c>
    </row>
    <row r="33" customFormat="1" s="22">
      <c r="A33" s="91" t="inlineStr">
        <is>
          <t>LOHKO E</t>
        </is>
      </c>
      <c r="B33" s="115" t="n"/>
      <c r="C33" s="115" t="n"/>
      <c r="D33" s="115" t="n"/>
      <c r="E33" s="116" t="n"/>
    </row>
    <row r="34">
      <c r="A34" s="30" t="inlineStr">
        <is>
          <t>la 13.6 klo 19:00</t>
        </is>
      </c>
      <c r="B34" s="13" t="inlineStr">
        <is>
          <t>GER-CUR</t>
        </is>
      </c>
      <c r="C34" s="46" t="n"/>
      <c r="D34" s="46" t="inlineStr">
        <is>
          <t>3-0</t>
        </is>
      </c>
      <c r="E34" s="31">
        <f>IF(EXACT($C34,D34),3,IF($C34=0,0,IF(SIGN((LEFT($C34,1))-(RIGHT($C34,1)))=SIGN((LEFT(D34,1))-(RIGHT(D34,1))),1,0)))</f>
        <v/>
      </c>
    </row>
    <row r="35">
      <c r="A35" s="30" t="inlineStr">
        <is>
          <t>la 13.6 klo 22:00</t>
        </is>
      </c>
      <c r="B35" s="13" t="inlineStr">
        <is>
          <t>ICV-ECU</t>
        </is>
      </c>
      <c r="C35" s="46" t="n"/>
      <c r="D35" s="46" t="inlineStr">
        <is>
          <t>0-1</t>
        </is>
      </c>
      <c r="E35" s="31">
        <f>IF(EXACT($C35,D35),3,IF($C35=0,0,IF(SIGN((LEFT($C35,1))-(RIGHT($C35,1)))=SIGN((LEFT(D35,1))-(RIGHT(D35,1))),1,0)))</f>
        <v/>
      </c>
    </row>
    <row r="36">
      <c r="A36" s="30" t="inlineStr">
        <is>
          <t>to 18.6 klo 21:00</t>
        </is>
      </c>
      <c r="B36" s="13" t="inlineStr">
        <is>
          <t>GER-ICV</t>
        </is>
      </c>
      <c r="C36" s="46" t="n"/>
      <c r="D36" s="46" t="inlineStr">
        <is>
          <t>2-1</t>
        </is>
      </c>
      <c r="E36" s="31">
        <f>IF(EXACT($C36,D36),3,IF($C36=0,0,IF(SIGN((LEFT($C36,1))-(RIGHT($C36,1)))=SIGN((LEFT(D36,1))-(RIGHT(D36,1))),1,0)))</f>
        <v/>
      </c>
    </row>
    <row r="37">
      <c r="A37" s="30" t="inlineStr">
        <is>
          <t>to 18.6 klo 21:00</t>
        </is>
      </c>
      <c r="B37" s="13" t="inlineStr">
        <is>
          <t>ECU-CUR</t>
        </is>
      </c>
      <c r="C37" s="46" t="n"/>
      <c r="D37" s="46" t="inlineStr">
        <is>
          <t>2-0</t>
        </is>
      </c>
      <c r="E37" s="31">
        <f>IF(EXACT($C37,D37),3,IF($C37=0,0,IF(SIGN((LEFT($C37,1))-(RIGHT($C37,1)))=SIGN((LEFT(D37,1))-(RIGHT(D37,1))),1,0)))</f>
        <v/>
      </c>
    </row>
    <row r="38">
      <c r="A38" s="30" t="inlineStr">
        <is>
          <t>ti 23.6 klo 21:00</t>
        </is>
      </c>
      <c r="B38" s="13" t="inlineStr">
        <is>
          <t>CUR-ICV</t>
        </is>
      </c>
      <c r="C38" s="46" t="n"/>
      <c r="D38" s="46" t="inlineStr">
        <is>
          <t>0-2</t>
        </is>
      </c>
      <c r="E38" s="31">
        <f>IF(EXACT($C38,D38),3,IF($C38=0,0,IF(SIGN((LEFT($C38,1))-(RIGHT($C38,1)))=SIGN((LEFT(D38,1))-(RIGHT(D38,1))),1,0)))</f>
        <v/>
      </c>
    </row>
    <row r="39">
      <c r="A39" s="30" t="inlineStr">
        <is>
          <t>ti 23.6 klo 21:00</t>
        </is>
      </c>
      <c r="B39" s="13" t="inlineStr">
        <is>
          <t>ECU-GER</t>
        </is>
      </c>
      <c r="C39" s="48" t="n"/>
      <c r="D39" s="48" t="inlineStr">
        <is>
          <t>0-2</t>
        </is>
      </c>
      <c r="E39" s="31">
        <f>IF(EXACT($C39,D39),3,IF($C39=0,0,IF(SIGN((LEFT($C39,1))-(RIGHT($C39,1)))=SIGN((LEFT(D39,1))-(RIGHT(D39,1))),1,0)))</f>
        <v/>
      </c>
    </row>
    <row r="40" customFormat="1" s="22">
      <c r="A40" s="91" t="inlineStr">
        <is>
          <t>LOHKO F</t>
        </is>
      </c>
      <c r="B40" s="115" t="n"/>
      <c r="C40" s="115" t="n"/>
      <c r="D40" s="115" t="n"/>
      <c r="E40" s="116" t="n"/>
    </row>
    <row r="41">
      <c r="A41" s="30" t="inlineStr">
        <is>
          <t>su 14.6 klo 18:00</t>
        </is>
      </c>
      <c r="B41" s="13" t="inlineStr">
        <is>
          <t>NED-JPN</t>
        </is>
      </c>
      <c r="C41" s="46" t="n"/>
      <c r="D41" s="46" t="inlineStr">
        <is>
          <t>2-1</t>
        </is>
      </c>
      <c r="E41" s="31">
        <f>IF(EXACT($C41,D41),3,IF($C41=0,0,IF(SIGN((LEFT($C41,1))-(RIGHT($C41,1)))=SIGN((LEFT(D41,1))-(RIGHT(D41,1))),1,0)))</f>
        <v/>
      </c>
    </row>
    <row r="42">
      <c r="A42" s="30" t="inlineStr">
        <is>
          <t>su 14.6 klo 21:00</t>
        </is>
      </c>
      <c r="B42" s="13" t="inlineStr">
        <is>
          <t>SWE-TUN</t>
        </is>
      </c>
      <c r="C42" s="46" t="n"/>
      <c r="D42" s="46" t="inlineStr">
        <is>
          <t>2-1</t>
        </is>
      </c>
      <c r="E42" s="31">
        <f>IF(EXACT($C42,D42),3,IF($C42=0,0,IF(SIGN((LEFT($C42,1))-(RIGHT($C42,1)))=SIGN((LEFT(D42,1))-(RIGHT(D42,1))),1,0)))</f>
        <v/>
      </c>
    </row>
    <row r="43">
      <c r="A43" s="30" t="inlineStr">
        <is>
          <t>to 18.6 klo 21:00</t>
        </is>
      </c>
      <c r="B43" s="13" t="inlineStr">
        <is>
          <t>NED-SWE</t>
        </is>
      </c>
      <c r="C43" s="46" t="n"/>
      <c r="D43" s="46" t="inlineStr">
        <is>
          <t>2-1</t>
        </is>
      </c>
      <c r="E43" s="31">
        <f>IF(EXACT($C43,D43),3,IF($C43=0,0,IF(SIGN((LEFT($C43,1))-(RIGHT($C43,1)))=SIGN((LEFT(D43,1))-(RIGHT(D43,1))),1,0)))</f>
        <v/>
      </c>
    </row>
    <row r="44">
      <c r="A44" s="30" t="inlineStr">
        <is>
          <t>to 18.6 klo 21:00</t>
        </is>
      </c>
      <c r="B44" s="13" t="inlineStr">
        <is>
          <t>TUN-JPN</t>
        </is>
      </c>
      <c r="C44" s="46" t="n"/>
      <c r="D44" s="46" t="inlineStr">
        <is>
          <t>0-1</t>
        </is>
      </c>
      <c r="E44" s="31">
        <f>IF(EXACT($C44,D44),3,IF($C44=0,0,IF(SIGN((LEFT($C44,1))-(RIGHT($C44,1)))=SIGN((LEFT(D44,1))-(RIGHT(D44,1))),1,0)))</f>
        <v/>
      </c>
    </row>
    <row r="45">
      <c r="A45" s="30" t="inlineStr">
        <is>
          <t>ti 23.6 klo 21:00</t>
        </is>
      </c>
      <c r="B45" s="13" t="inlineStr">
        <is>
          <t>JPN-SWE</t>
        </is>
      </c>
      <c r="C45" s="46" t="n"/>
      <c r="D45" s="46" t="inlineStr">
        <is>
          <t>2-1</t>
        </is>
      </c>
      <c r="E45" s="31">
        <f>IF(EXACT($C45,D45),3,IF($C45=0,0,IF(SIGN((LEFT($C45,1))-(RIGHT($C45,1)))=SIGN((LEFT(D45,1))-(RIGHT(D45,1))),1,0)))</f>
        <v/>
      </c>
    </row>
    <row r="46">
      <c r="A46" s="30" t="inlineStr">
        <is>
          <t>ti 23.6 klo 21:00</t>
        </is>
      </c>
      <c r="B46" s="13" t="inlineStr">
        <is>
          <t>TUN-NED</t>
        </is>
      </c>
      <c r="C46" s="48" t="n"/>
      <c r="D46" s="48" t="inlineStr">
        <is>
          <t>0-2</t>
        </is>
      </c>
      <c r="E46" s="31">
        <f>IF(EXACT($C46,D46),3,IF($C46=0,0,IF(SIGN((LEFT($C46,1))-(RIGHT($C46,1)))=SIGN((LEFT(D46,1))-(RIGHT(D46,1))),1,0)))</f>
        <v/>
      </c>
    </row>
    <row r="47" customFormat="1" s="22">
      <c r="A47" s="91" t="inlineStr">
        <is>
          <t>LOHKO G</t>
        </is>
      </c>
      <c r="B47" s="115" t="n"/>
      <c r="C47" s="115" t="n"/>
      <c r="D47" s="115" t="n"/>
      <c r="E47" s="116" t="n"/>
    </row>
    <row r="48">
      <c r="A48" s="30" t="inlineStr">
        <is>
          <t>su 14.6 klo 18:00</t>
        </is>
      </c>
      <c r="B48" s="13" t="inlineStr">
        <is>
          <t>BEL-EGY</t>
        </is>
      </c>
      <c r="C48" s="46" t="n"/>
      <c r="D48" s="46" t="inlineStr">
        <is>
          <t>2-0</t>
        </is>
      </c>
      <c r="E48" s="31">
        <f>IF(EXACT($C48,D48),3,IF($C48=0,0,IF(SIGN((LEFT($C48,1))-(RIGHT($C48,1)))=SIGN((LEFT(D48,1))-(RIGHT(D48,1))),1,0)))</f>
        <v/>
      </c>
    </row>
    <row r="49">
      <c r="A49" s="30" t="inlineStr">
        <is>
          <t>su 14.6 klo 21:00</t>
        </is>
      </c>
      <c r="B49" s="13" t="inlineStr">
        <is>
          <t>IRN-NZL</t>
        </is>
      </c>
      <c r="C49" s="46" t="n"/>
      <c r="D49" s="46" t="inlineStr">
        <is>
          <t>1-1</t>
        </is>
      </c>
      <c r="E49" s="31">
        <f>IF(EXACT($C49,D49),3,IF($C49=0,0,IF(SIGN((LEFT($C49,1))-(RIGHT($C49,1)))=SIGN((LEFT(D49,1))-(RIGHT(D49,1))),1,0)))</f>
        <v/>
      </c>
    </row>
    <row r="50">
      <c r="A50" s="30" t="inlineStr">
        <is>
          <t>to 18.6 klo 21:00</t>
        </is>
      </c>
      <c r="B50" s="13" t="inlineStr">
        <is>
          <t>BEL-IRN</t>
        </is>
      </c>
      <c r="C50" s="46" t="n"/>
      <c r="D50" s="46" t="inlineStr">
        <is>
          <t>2-0</t>
        </is>
      </c>
      <c r="E50" s="31">
        <f>IF(EXACT($C50,D50),3,IF($C50=0,0,IF(SIGN((LEFT($C50,1))-(RIGHT($C50,1)))=SIGN((LEFT(D50,1))-(RIGHT(D50,1))),1,0)))</f>
        <v/>
      </c>
    </row>
    <row r="51">
      <c r="A51" s="30" t="inlineStr">
        <is>
          <t>to 18.6 klo 21:00</t>
        </is>
      </c>
      <c r="B51" s="13" t="inlineStr">
        <is>
          <t>NZL-EGY</t>
        </is>
      </c>
      <c r="C51" s="46" t="n"/>
      <c r="D51" s="46" t="inlineStr">
        <is>
          <t>0-2</t>
        </is>
      </c>
      <c r="E51" s="31">
        <f>IF(EXACT($C51,D51),3,IF($C51=0,0,IF(SIGN((LEFT($C51,1))-(RIGHT($C51,1)))=SIGN((LEFT(D51,1))-(RIGHT(D51,1))),1,0)))</f>
        <v/>
      </c>
    </row>
    <row r="52">
      <c r="A52" s="30" t="inlineStr">
        <is>
          <t>ti 23.6 klo 21:00</t>
        </is>
      </c>
      <c r="B52" s="13" t="inlineStr">
        <is>
          <t>EGY-IRN</t>
        </is>
      </c>
      <c r="C52" s="46" t="n"/>
      <c r="D52" s="46" t="inlineStr">
        <is>
          <t>1-0</t>
        </is>
      </c>
      <c r="E52" s="31">
        <f>IF(EXACT($C52,D52),3,IF($C52=0,0,IF(SIGN((LEFT($C52,1))-(RIGHT($C52,1)))=SIGN((LEFT(D52,1))-(RIGHT(D52,1))),1,0)))</f>
        <v/>
      </c>
    </row>
    <row r="53">
      <c r="A53" s="30" t="inlineStr">
        <is>
          <t>ti 23.6 klo 21:00</t>
        </is>
      </c>
      <c r="B53" s="13" t="inlineStr">
        <is>
          <t>NZL-BEL</t>
        </is>
      </c>
      <c r="C53" s="48" t="n"/>
      <c r="D53" s="48" t="inlineStr">
        <is>
          <t>0-3</t>
        </is>
      </c>
      <c r="E53" s="31">
        <f>IF(EXACT($C53,D53),3,IF($C53=0,0,IF(SIGN((LEFT($C53,1))-(RIGHT($C53,1)))=SIGN((LEFT(D53,1))-(RIGHT(D53,1))),1,0)))</f>
        <v/>
      </c>
    </row>
    <row r="54" customFormat="1" s="22">
      <c r="A54" s="91" t="inlineStr">
        <is>
          <t>LOHKO H</t>
        </is>
      </c>
      <c r="B54" s="115" t="n"/>
      <c r="C54" s="115" t="n"/>
      <c r="D54" s="115" t="n"/>
      <c r="E54" s="116" t="n"/>
    </row>
    <row r="55">
      <c r="A55" s="30" t="inlineStr">
        <is>
          <t>ma 15.6 klo 19:00</t>
        </is>
      </c>
      <c r="B55" s="13" t="inlineStr">
        <is>
          <t>ESP-CPV</t>
        </is>
      </c>
      <c r="C55" s="46" t="n"/>
      <c r="D55" s="46" t="inlineStr">
        <is>
          <t>3-0</t>
        </is>
      </c>
      <c r="E55" s="31">
        <f>IF(EXACT($C55,D55),3,IF($C55=0,0,IF(SIGN((LEFT($C55,1))-(RIGHT($C55,1)))=SIGN((LEFT(D55,1))-(RIGHT(D55,1))),1,0)))</f>
        <v/>
      </c>
    </row>
    <row r="56">
      <c r="A56" s="30" t="inlineStr">
        <is>
          <t>ma 15.6 klo 22:00</t>
        </is>
      </c>
      <c r="B56" s="13" t="inlineStr">
        <is>
          <t>KSA-URU</t>
        </is>
      </c>
      <c r="C56" s="46" t="n"/>
      <c r="D56" s="46" t="inlineStr">
        <is>
          <t>0-2</t>
        </is>
      </c>
      <c r="E56" s="31">
        <f>IF(EXACT($C56,D56),3,IF($C56=0,0,IF(SIGN((LEFT($C56,1))-(RIGHT($C56,1)))=SIGN((LEFT(D56,1))-(RIGHT(D56,1))),1,0)))</f>
        <v/>
      </c>
    </row>
    <row r="57">
      <c r="A57" s="30" t="inlineStr">
        <is>
          <t>pe 19.6 klo 21:00</t>
        </is>
      </c>
      <c r="B57" s="13" t="inlineStr">
        <is>
          <t>ESP-KSA</t>
        </is>
      </c>
      <c r="C57" s="46" t="n"/>
      <c r="D57" s="46" t="inlineStr">
        <is>
          <t>3-0</t>
        </is>
      </c>
      <c r="E57" s="31">
        <f>IF(EXACT($C57,D57),3,IF($C57=0,0,IF(SIGN((LEFT($C57,1))-(RIGHT($C57,1)))=SIGN((LEFT(D57,1))-(RIGHT(D57,1))),1,0)))</f>
        <v/>
      </c>
    </row>
    <row r="58">
      <c r="A58" s="30" t="inlineStr">
        <is>
          <t>pe 19.6 klo 21:00</t>
        </is>
      </c>
      <c r="B58" s="13" t="inlineStr">
        <is>
          <t>URU-CPV</t>
        </is>
      </c>
      <c r="C58" s="46" t="n"/>
      <c r="D58" s="46" t="inlineStr">
        <is>
          <t>2-0</t>
        </is>
      </c>
      <c r="E58" s="31">
        <f>IF(EXACT($C58,D58),3,IF($C58=0,0,IF(SIGN((LEFT($C58,1))-(RIGHT($C58,1)))=SIGN((LEFT(D58,1))-(RIGHT(D58,1))),1,0)))</f>
        <v/>
      </c>
    </row>
    <row r="59">
      <c r="A59" s="30" t="inlineStr">
        <is>
          <t>ke 24.6 klo 21:00</t>
        </is>
      </c>
      <c r="B59" s="13" t="inlineStr">
        <is>
          <t>CPV-KSA</t>
        </is>
      </c>
      <c r="C59" s="46" t="n"/>
      <c r="D59" s="46" t="inlineStr">
        <is>
          <t>2-1</t>
        </is>
      </c>
      <c r="E59" s="31">
        <f>IF(EXACT($C59,D59),3,IF($C59=0,0,IF(SIGN((LEFT($C59,1))-(RIGHT($C59,1)))=SIGN((LEFT(D59,1))-(RIGHT(D59,1))),1,0)))</f>
        <v/>
      </c>
    </row>
    <row r="60">
      <c r="A60" s="30" t="inlineStr">
        <is>
          <t>ke 24.6 klo 21:00</t>
        </is>
      </c>
      <c r="B60" s="13" t="inlineStr">
        <is>
          <t>URU-ESP</t>
        </is>
      </c>
      <c r="C60" s="48" t="n"/>
      <c r="D60" s="48" t="inlineStr">
        <is>
          <t>1-1</t>
        </is>
      </c>
      <c r="E60" s="31">
        <f>IF(EXACT($C60,D60),3,IF($C60=0,0,IF(SIGN((LEFT($C60,1))-(RIGHT($C60,1)))=SIGN((LEFT(D60,1))-(RIGHT(D60,1))),1,0)))</f>
        <v/>
      </c>
    </row>
    <row r="61" customFormat="1" s="22">
      <c r="A61" s="91" t="inlineStr">
        <is>
          <t>LOHKO I</t>
        </is>
      </c>
      <c r="B61" s="115" t="n"/>
      <c r="C61" s="115" t="n"/>
      <c r="D61" s="115" t="n"/>
      <c r="E61" s="116" t="n"/>
    </row>
    <row r="62">
      <c r="A62" s="30" t="inlineStr">
        <is>
          <t>ma 15.6 klo 19:00</t>
        </is>
      </c>
      <c r="B62" s="13" t="inlineStr">
        <is>
          <t>FRA-SEN</t>
        </is>
      </c>
      <c r="C62" s="46" t="n"/>
      <c r="D62" s="46" t="inlineStr">
        <is>
          <t>2-1</t>
        </is>
      </c>
      <c r="E62" s="31">
        <f>IF(EXACT($C62,D62),3,IF($C62=0,0,IF(SIGN((LEFT($C62,1))-(RIGHT($C62,1)))=SIGN((LEFT(D62,1))-(RIGHT(D62,1))),1,0)))</f>
        <v/>
      </c>
    </row>
    <row r="63">
      <c r="A63" s="30" t="inlineStr">
        <is>
          <t>ma 15.6 klo 22:00</t>
        </is>
      </c>
      <c r="B63" s="13" t="inlineStr">
        <is>
          <t>IRQ-NOR</t>
        </is>
      </c>
      <c r="C63" s="46" t="n"/>
      <c r="D63" s="46" t="inlineStr">
        <is>
          <t>0-3</t>
        </is>
      </c>
      <c r="E63" s="31">
        <f>IF(EXACT($C63,D63),3,IF($C63=0,0,IF(SIGN((LEFT($C63,1))-(RIGHT($C63,1)))=SIGN((LEFT(D63,1))-(RIGHT(D63,1))),1,0)))</f>
        <v/>
      </c>
    </row>
    <row r="64">
      <c r="A64" s="30" t="inlineStr">
        <is>
          <t>pe 19.6 klo 21:00</t>
        </is>
      </c>
      <c r="B64" s="13" t="inlineStr">
        <is>
          <t>FRA-IRQ</t>
        </is>
      </c>
      <c r="C64" s="46" t="n"/>
      <c r="D64" s="46" t="inlineStr">
        <is>
          <t>2-0</t>
        </is>
      </c>
      <c r="E64" s="31">
        <f>IF(EXACT($C64,D64),3,IF($C64=0,0,IF(SIGN((LEFT($C64,1))-(RIGHT($C64,1)))=SIGN((LEFT(D64,1))-(RIGHT(D64,1))),1,0)))</f>
        <v/>
      </c>
    </row>
    <row r="65">
      <c r="A65" s="30" t="inlineStr">
        <is>
          <t>pe 19.6 klo 21:00</t>
        </is>
      </c>
      <c r="B65" s="13" t="inlineStr">
        <is>
          <t>NOR-SEN</t>
        </is>
      </c>
      <c r="C65" s="46" t="n"/>
      <c r="D65" s="46" t="inlineStr">
        <is>
          <t>2-1</t>
        </is>
      </c>
      <c r="E65" s="31">
        <f>IF(EXACT($C65,D65),3,IF($C65=0,0,IF(SIGN((LEFT($C65,1))-(RIGHT($C65,1)))=SIGN((LEFT(D65,1))-(RIGHT(D65,1))),1,0)))</f>
        <v/>
      </c>
    </row>
    <row r="66">
      <c r="A66" s="30" t="inlineStr">
        <is>
          <t>ke 24.6 klo 21:00</t>
        </is>
      </c>
      <c r="B66" s="13" t="inlineStr">
        <is>
          <t>NOR-FRA</t>
        </is>
      </c>
      <c r="C66" s="46" t="n"/>
      <c r="D66" s="46" t="inlineStr">
        <is>
          <t>1-2</t>
        </is>
      </c>
      <c r="E66" s="31">
        <f>IF(EXACT($C66,D66),3,IF($C66=0,0,IF(SIGN((LEFT($C66,1))-(RIGHT($C66,1)))=SIGN((LEFT(D66,1))-(RIGHT(D66,1))),1,0)))</f>
        <v/>
      </c>
    </row>
    <row r="67">
      <c r="A67" s="30" t="inlineStr">
        <is>
          <t>ke 24.6 klo 21:00</t>
        </is>
      </c>
      <c r="B67" s="13" t="inlineStr">
        <is>
          <t>SEN-IRQ</t>
        </is>
      </c>
      <c r="C67" s="48" t="n"/>
      <c r="D67" s="48" t="inlineStr">
        <is>
          <t>2-0</t>
        </is>
      </c>
      <c r="E67" s="31">
        <f>IF(EXACT($C67,D67),3,IF($C67=0,0,IF(SIGN((LEFT($C67,1))-(RIGHT($C67,1)))=SIGN((LEFT(D67,1))-(RIGHT(D67,1))),1,0)))</f>
        <v/>
      </c>
    </row>
    <row r="68" customFormat="1" s="22">
      <c r="A68" s="91" t="inlineStr">
        <is>
          <t>LOHKO J</t>
        </is>
      </c>
      <c r="B68" s="115" t="n"/>
      <c r="C68" s="115" t="n"/>
      <c r="D68" s="115" t="n"/>
      <c r="E68" s="116" t="n"/>
    </row>
    <row r="69">
      <c r="A69" s="30" t="inlineStr">
        <is>
          <t>ti 16.6 klo 19:00</t>
        </is>
      </c>
      <c r="B69" s="13" t="inlineStr">
        <is>
          <t>ARG-ALG</t>
        </is>
      </c>
      <c r="C69" s="46" t="n"/>
      <c r="D69" s="46" t="inlineStr">
        <is>
          <t>2-0</t>
        </is>
      </c>
      <c r="E69" s="31">
        <f>IF(EXACT($C69,D69),3,IF($C69=0,0,IF(SIGN((LEFT($C69,1))-(RIGHT($C69,1)))=SIGN((LEFT(D69,1))-(RIGHT(D69,1))),1,0)))</f>
        <v/>
      </c>
    </row>
    <row r="70">
      <c r="A70" s="30" t="inlineStr">
        <is>
          <t>ti 16.6 klo 22:00</t>
        </is>
      </c>
      <c r="B70" s="13" t="inlineStr">
        <is>
          <t>AUT-JOR</t>
        </is>
      </c>
      <c r="C70" s="46" t="n"/>
      <c r="D70" s="46" t="inlineStr">
        <is>
          <t>2-0</t>
        </is>
      </c>
      <c r="E70" s="31">
        <f>IF(EXACT($C70,D70),3,IF($C70=0,0,IF(SIGN((LEFT($C70,1))-(RIGHT($C70,1)))=SIGN((LEFT(D70,1))-(RIGHT(D70,1))),1,0)))</f>
        <v/>
      </c>
    </row>
    <row r="71">
      <c r="A71" s="30" t="inlineStr">
        <is>
          <t>la 20.6 klo 21:00</t>
        </is>
      </c>
      <c r="B71" s="13" t="inlineStr">
        <is>
          <t>ARG-AUT</t>
        </is>
      </c>
      <c r="C71" s="46" t="n"/>
      <c r="D71" s="46" t="inlineStr">
        <is>
          <t>2-1</t>
        </is>
      </c>
      <c r="E71" s="31">
        <f>IF(EXACT($C71,D71),3,IF($C71=0,0,IF(SIGN((LEFT($C71,1))-(RIGHT($C71,1)))=SIGN((LEFT(D71,1))-(RIGHT(D71,1))),1,0)))</f>
        <v/>
      </c>
    </row>
    <row r="72">
      <c r="A72" s="30" t="inlineStr">
        <is>
          <t>la 20.6 klo 21:00</t>
        </is>
      </c>
      <c r="B72" s="13" t="inlineStr">
        <is>
          <t>JOR-ALG</t>
        </is>
      </c>
      <c r="C72" s="46" t="n"/>
      <c r="D72" s="46" t="inlineStr">
        <is>
          <t>0-2</t>
        </is>
      </c>
      <c r="E72" s="31">
        <f>IF(EXACT($C72,D72),3,IF($C72=0,0,IF(SIGN((LEFT($C72,1))-(RIGHT($C72,1)))=SIGN((LEFT(D72,1))-(RIGHT(D72,1))),1,0)))</f>
        <v/>
      </c>
    </row>
    <row r="73">
      <c r="A73" s="30" t="inlineStr">
        <is>
          <t>to 25.6 klo 21:00</t>
        </is>
      </c>
      <c r="B73" s="13" t="inlineStr">
        <is>
          <t>ALG-AUT</t>
        </is>
      </c>
      <c r="C73" s="46" t="n"/>
      <c r="D73" s="46" t="inlineStr">
        <is>
          <t>0-1</t>
        </is>
      </c>
      <c r="E73" s="31">
        <f>IF(EXACT($C73,D73),3,IF($C73=0,0,IF(SIGN((LEFT($C73,1))-(RIGHT($C73,1)))=SIGN((LEFT(D73,1))-(RIGHT(D73,1))),1,0)))</f>
        <v/>
      </c>
    </row>
    <row r="74">
      <c r="A74" s="30" t="inlineStr">
        <is>
          <t>to 25.6 klo 21:00</t>
        </is>
      </c>
      <c r="B74" s="13" t="inlineStr">
        <is>
          <t>JOR-ARG</t>
        </is>
      </c>
      <c r="C74" s="48" t="n"/>
      <c r="D74" s="48" t="inlineStr">
        <is>
          <t>0-3</t>
        </is>
      </c>
      <c r="E74" s="31">
        <f>IF(EXACT($C74,D74),3,IF($C74=0,0,IF(SIGN((LEFT($C74,1))-(RIGHT($C74,1)))=SIGN((LEFT(D74,1))-(RIGHT(D74,1))),1,0)))</f>
        <v/>
      </c>
    </row>
    <row r="75" customFormat="1" s="22">
      <c r="A75" s="91" t="inlineStr">
        <is>
          <t>LOHKO K</t>
        </is>
      </c>
      <c r="B75" s="115" t="n"/>
      <c r="C75" s="115" t="n"/>
      <c r="D75" s="115" t="n"/>
      <c r="E75" s="116" t="n"/>
    </row>
    <row r="76">
      <c r="A76" s="30" t="inlineStr">
        <is>
          <t>ti 16.6 klo 19:00</t>
        </is>
      </c>
      <c r="B76" s="13" t="inlineStr">
        <is>
          <t>POR-DRC</t>
        </is>
      </c>
      <c r="C76" s="46" t="n"/>
      <c r="D76" s="46" t="inlineStr">
        <is>
          <t>3-0</t>
        </is>
      </c>
      <c r="E76" s="31">
        <f>IF(EXACT($C76,D76),3,IF($C76=0,0,IF(SIGN((LEFT($C76,1))-(RIGHT($C76,1)))=SIGN((LEFT(D76,1))-(RIGHT(D76,1))),1,0)))</f>
        <v/>
      </c>
    </row>
    <row r="77">
      <c r="A77" s="30" t="inlineStr">
        <is>
          <t>ti 16.6 klo 22:00</t>
        </is>
      </c>
      <c r="B77" s="13" t="inlineStr">
        <is>
          <t>UZB-COL</t>
        </is>
      </c>
      <c r="C77" s="46" t="n"/>
      <c r="D77" s="46" t="inlineStr">
        <is>
          <t>1-2</t>
        </is>
      </c>
      <c r="E77" s="31">
        <f>IF(EXACT($C77,D77),3,IF($C77=0,0,IF(SIGN((LEFT($C77,1))-(RIGHT($C77,1)))=SIGN((LEFT(D77,1))-(RIGHT(D77,1))),1,0)))</f>
        <v/>
      </c>
    </row>
    <row r="78">
      <c r="A78" s="30" t="inlineStr">
        <is>
          <t>la 20.6 klo 21:00</t>
        </is>
      </c>
      <c r="B78" s="13" t="inlineStr">
        <is>
          <t>POR-UZB</t>
        </is>
      </c>
      <c r="C78" s="46" t="n"/>
      <c r="D78" s="46" t="inlineStr">
        <is>
          <t>2-0</t>
        </is>
      </c>
      <c r="E78" s="31">
        <f>IF(EXACT($C78,D78),3,IF($C78=0,0,IF(SIGN((LEFT($C78,1))-(RIGHT($C78,1)))=SIGN((LEFT(D78,1))-(RIGHT(D78,1))),1,0)))</f>
        <v/>
      </c>
    </row>
    <row r="79">
      <c r="A79" s="30" t="inlineStr">
        <is>
          <t>la 20.6 klo 21:00</t>
        </is>
      </c>
      <c r="B79" s="13" t="inlineStr">
        <is>
          <t>COL-DRC</t>
        </is>
      </c>
      <c r="C79" s="46" t="n"/>
      <c r="D79" s="46" t="inlineStr">
        <is>
          <t>2-0</t>
        </is>
      </c>
      <c r="E79" s="31">
        <f>IF(EXACT($C79,D79),3,IF($C79=0,0,IF(SIGN((LEFT($C79,1))-(RIGHT($C79,1)))=SIGN((LEFT(D79,1))-(RIGHT(D79,1))),1,0)))</f>
        <v/>
      </c>
    </row>
    <row r="80">
      <c r="A80" s="30" t="inlineStr">
        <is>
          <t>to 25.6 klo 21:00</t>
        </is>
      </c>
      <c r="B80" s="13" t="inlineStr">
        <is>
          <t>COL-POR</t>
        </is>
      </c>
      <c r="C80" s="46" t="n"/>
      <c r="D80" s="46" t="inlineStr">
        <is>
          <t>0-1</t>
        </is>
      </c>
      <c r="E80" s="31">
        <f>IF(EXACT($C80,D80),3,IF($C80=0,0,IF(SIGN((LEFT($C80,1))-(RIGHT($C80,1)))=SIGN((LEFT(D80,1))-(RIGHT(D80,1))),1,0)))</f>
        <v/>
      </c>
    </row>
    <row r="81">
      <c r="A81" s="30" t="inlineStr">
        <is>
          <t>to 25.6 klo 21:00</t>
        </is>
      </c>
      <c r="B81" s="13" t="inlineStr">
        <is>
          <t>DRC-UZB</t>
        </is>
      </c>
      <c r="C81" s="48" t="n"/>
      <c r="D81" s="48" t="inlineStr">
        <is>
          <t>1-1</t>
        </is>
      </c>
      <c r="E81" s="31">
        <f>IF(EXACT($C81,D81),3,IF($C81=0,0,IF(SIGN((LEFT($C81,1))-(RIGHT($C81,1)))=SIGN((LEFT(D81,1))-(RIGHT(D81,1))),1,0)))</f>
        <v/>
      </c>
    </row>
    <row r="82" customFormat="1" s="22">
      <c r="A82" s="91" t="inlineStr">
        <is>
          <t>LOHKO L</t>
        </is>
      </c>
      <c r="B82" s="115" t="n"/>
      <c r="C82" s="115" t="n"/>
      <c r="D82" s="115" t="n"/>
      <c r="E82" s="116" t="n"/>
    </row>
    <row r="83">
      <c r="A83" s="30" t="inlineStr">
        <is>
          <t>ke 17.6 klo 19:00</t>
        </is>
      </c>
      <c r="B83" s="13" t="inlineStr">
        <is>
          <t>ENG-CRO</t>
        </is>
      </c>
      <c r="C83" s="46" t="n"/>
      <c r="D83" s="46" t="inlineStr">
        <is>
          <t>2-0</t>
        </is>
      </c>
      <c r="E83" s="31">
        <f>IF(EXACT($C83,D83),3,IF($C83=0,0,IF(SIGN((LEFT($C83,1))-(RIGHT($C83,1)))=SIGN((LEFT(D83,1))-(RIGHT(D83,1))),1,0)))</f>
        <v/>
      </c>
    </row>
    <row r="84">
      <c r="A84" s="30" t="inlineStr">
        <is>
          <t>ke 17.6 klo 22:00</t>
        </is>
      </c>
      <c r="B84" s="13" t="inlineStr">
        <is>
          <t>GHA-PAN</t>
        </is>
      </c>
      <c r="C84" s="46" t="n"/>
      <c r="D84" s="46" t="inlineStr">
        <is>
          <t>1-0</t>
        </is>
      </c>
      <c r="E84" s="31">
        <f>IF(EXACT($C84,D84),3,IF($C84=0,0,IF(SIGN((LEFT($C84,1))-(RIGHT($C84,1)))=SIGN((LEFT(D84,1))-(RIGHT(D84,1))),1,0)))</f>
        <v/>
      </c>
    </row>
    <row r="85">
      <c r="A85" s="30" t="inlineStr">
        <is>
          <t>su 21.6 klo 21:00</t>
        </is>
      </c>
      <c r="B85" s="13" t="inlineStr">
        <is>
          <t>ENG-GHA</t>
        </is>
      </c>
      <c r="C85" s="46" t="n"/>
      <c r="D85" s="46" t="inlineStr">
        <is>
          <t>2-0</t>
        </is>
      </c>
      <c r="E85" s="31">
        <f>IF(EXACT($C85,D85),3,IF($C85=0,0,IF(SIGN((LEFT($C85,1))-(RIGHT($C85,1)))=SIGN((LEFT(D85,1))-(RIGHT(D85,1))),1,0)))</f>
        <v/>
      </c>
    </row>
    <row r="86">
      <c r="A86" s="30" t="inlineStr">
        <is>
          <t>su 21.6 klo 21:00</t>
        </is>
      </c>
      <c r="B86" s="13" t="inlineStr">
        <is>
          <t>PAN-CRO</t>
        </is>
      </c>
      <c r="C86" s="46" t="n"/>
      <c r="D86" s="46" t="inlineStr">
        <is>
          <t>0-2</t>
        </is>
      </c>
      <c r="E86" s="31">
        <f>IF(EXACT($C86,D86),3,IF($C86=0,0,IF(SIGN((LEFT($C86,1))-(RIGHT($C86,1)))=SIGN((LEFT(D86,1))-(RIGHT(D86,1))),1,0)))</f>
        <v/>
      </c>
    </row>
    <row r="87">
      <c r="A87" s="30" t="inlineStr">
        <is>
          <t>to 25.6 klo 21:00</t>
        </is>
      </c>
      <c r="B87" s="13" t="inlineStr">
        <is>
          <t>PAN-ENG</t>
        </is>
      </c>
      <c r="C87" s="46" t="n"/>
      <c r="D87" s="46" t="inlineStr">
        <is>
          <t>0-3</t>
        </is>
      </c>
      <c r="E87" s="31">
        <f>IF(EXACT($C87,D87),3,IF($C87=0,0,IF(SIGN((LEFT($C87,1))-(RIGHT($C87,1)))=SIGN((LEFT(D87,1))-(RIGHT(D87,1))),1,0)))</f>
        <v/>
      </c>
    </row>
    <row r="88">
      <c r="A88" s="30" t="inlineStr">
        <is>
          <t>to 25.6 klo 21:00</t>
        </is>
      </c>
      <c r="B88" s="13" t="inlineStr">
        <is>
          <t>CRO-GHA</t>
        </is>
      </c>
      <c r="C88" s="48" t="n"/>
      <c r="D88" s="48" t="inlineStr">
        <is>
          <t>1-1</t>
        </is>
      </c>
      <c r="E88" s="31">
        <f>IF(EXACT($C88,D88),3,IF($C88=0,0,IF(SIGN((LEFT($C88,1))-(RIGHT($C88,1)))=SIGN((LEFT(D88,1))-(RIGHT(D88,1))),1,0)))</f>
        <v/>
      </c>
    </row>
    <row r="89">
      <c r="A89" s="77" t="n"/>
      <c r="B89" s="13" t="n"/>
      <c r="C89" s="48" t="n"/>
      <c r="D89" s="48" t="n"/>
      <c r="E89" s="78" t="n"/>
    </row>
    <row r="90" ht="54" customFormat="1" customHeight="1" s="23">
      <c r="A90" s="99" t="inlineStr">
        <is>
          <t>Veikkaa lohkovaiheen sikajengiä oikealle (8p).
(ks. säännöt-välilehti)</t>
        </is>
      </c>
      <c r="B90" s="117" t="n"/>
      <c r="C90" s="117" t="n"/>
      <c r="D90" s="72" t="inlineStr">
        <is>
          <t>KSA</t>
        </is>
      </c>
      <c r="E90" s="39" t="n"/>
    </row>
    <row r="91" ht="30" customFormat="1" customHeight="1" s="59">
      <c r="A91" s="95" t="inlineStr">
        <is>
          <t>Lohkovaiheen pisteet yhteensä</t>
        </is>
      </c>
      <c r="B91" s="118" t="n"/>
      <c r="C91" s="118" t="n"/>
      <c r="D91" s="118" t="n"/>
      <c r="E91" s="79">
        <f>SUM(E6:E11,E13:E18,E20:E25,E27:E32,E34:E39,#REF!,E41:E46,E48:E53,E55:E60,E62:E67,E69:E74,E76:E81,E83:E88,E90)</f>
        <v/>
      </c>
    </row>
    <row r="92" ht="30" customHeight="1">
      <c r="A92" s="87" t="inlineStr">
        <is>
          <t>CUP-Vaihe</t>
        </is>
      </c>
      <c r="B92" s="112" t="n"/>
      <c r="C92" s="112" t="n"/>
      <c r="D92" s="112" t="n"/>
      <c r="E92" s="113" t="n"/>
    </row>
    <row r="93" ht="46.5" customFormat="1" customHeight="1" s="25">
      <c r="A93" s="94" t="n"/>
      <c r="B93" s="29" t="n"/>
      <c r="C93" s="27" t="inlineStr">
        <is>
          <t>1/16</t>
        </is>
      </c>
      <c r="D93" s="93" t="inlineStr">
        <is>
          <t>16 joukkoon (2p)</t>
        </is>
      </c>
      <c r="E93" s="119" t="n"/>
    </row>
    <row r="94" ht="12.75" customHeight="1">
      <c r="A94" s="17" t="n"/>
      <c r="B94" s="36" t="n"/>
      <c r="C94" s="98" t="inlineStr">
        <is>
          <t>Syötä omat veikkaukset jatkoon päässeistä maista oikealle, missä tahansa järjestyksessä . 
Tähän tulevat oikeat tulokset</t>
        </is>
      </c>
      <c r="D94" s="78" t="inlineStr">
        <is>
          <t>KOR</t>
        </is>
      </c>
      <c r="E94" s="9">
        <f>IF(OR(EXACT(D94,$C$101),EXACT(D94,$C$95),EXACT(D94,$C$100),EXACT(D94,$C$94),EXACT(D94,$C$97),EXACT(D94,$C$96),EXACT(D94,$C$98),EXACT(D94,$C$99),EXACT(D94,$C$102),EXACT(D94,$C$103),EXACT(D94,$C$104),EXACT(D94,$C$105),EXACT(D94,$C$106),EXACT(D94,$C$107),EXACT(D94,$C$108),EXACT(D94,$C$109)),2,0)</f>
        <v/>
      </c>
    </row>
    <row r="95" ht="14.25" customHeight="1">
      <c r="A95" s="17" t="n"/>
      <c r="B95" s="36" t="n"/>
      <c r="D95" s="78" t="inlineStr">
        <is>
          <t>GER</t>
        </is>
      </c>
      <c r="E95" s="9">
        <f>IF(OR(EXACT(D95,$C$101),EXACT(D95,$C$95),EXACT(D95,$C$100),EXACT(D95,$C$94),EXACT(D95,$C$97),EXACT(D95,$C$96),EXACT(D95,$C$98),EXACT(D95,$C$99),EXACT(D95,$C$102),EXACT(D95,$C$103),EXACT(D95,$C$104),EXACT(D95,$C$105),EXACT(D95,$C$106),EXACT(D95,$C$107),EXACT(D95,$C$108),EXACT(D95,$C$109)),2,0)</f>
        <v/>
      </c>
    </row>
    <row r="96">
      <c r="A96" s="17" t="n"/>
      <c r="B96" s="36" t="n"/>
      <c r="D96" s="78" t="inlineStr">
        <is>
          <t>NED</t>
        </is>
      </c>
      <c r="E96" s="9">
        <f>IF(OR(EXACT(D96,$C$101),EXACT(D96,$C$95),EXACT(D96,$C$100),EXACT(D96,$C$94),EXACT(D96,$C$97),EXACT(D96,$C$96),EXACT(D96,$C$98),EXACT(D96,$C$99),EXACT(D96,$C$102),EXACT(D96,$C$103),EXACT(D96,$C$104),EXACT(D96,$C$105),EXACT(D96,$C$106),EXACT(D96,$C$107),EXACT(D96,$C$108),EXACT(D96,$C$109)),2,0)</f>
        <v/>
      </c>
    </row>
    <row r="97">
      <c r="A97" s="17" t="n"/>
      <c r="B97" s="36" t="n"/>
      <c r="D97" s="78" t="inlineStr">
        <is>
          <t>BRA</t>
        </is>
      </c>
      <c r="E97" s="9">
        <f>IF(OR(EXACT(D97,$C$101),EXACT(D97,$C$95),EXACT(D97,$C$100),EXACT(D97,$C$94),EXACT(D97,$C$97),EXACT(D97,$C$96),EXACT(D97,$C$98),EXACT(D97,$C$99),EXACT(D97,$C$102),EXACT(D97,$C$103),EXACT(D97,$C$104),EXACT(D97,$C$105),EXACT(D97,$C$106),EXACT(D97,$C$107),EXACT(D97,$C$108),EXACT(D97,$C$109)),2,0)</f>
        <v/>
      </c>
    </row>
    <row r="98">
      <c r="A98" s="17" t="n"/>
      <c r="B98" s="36" t="n"/>
      <c r="D98" s="78" t="inlineStr">
        <is>
          <t>FRA</t>
        </is>
      </c>
      <c r="E98" s="9">
        <f>IF(OR(EXACT(D98,$C$101),EXACT(D98,$C$95),EXACT(D98,$C$100),EXACT(D98,$C$94),EXACT(D98,$C$97),EXACT(D98,$C$96),EXACT(D98,$C$98),EXACT(D98,$C$99),EXACT(D98,$C$102),EXACT(D98,$C$103),EXACT(D98,$C$104),EXACT(D98,$C$105),EXACT(D98,$C$106),EXACT(D98,$C$107),EXACT(D98,$C$108),EXACT(D98,$C$109)),2,0)</f>
        <v/>
      </c>
    </row>
    <row r="99">
      <c r="A99" s="17" t="n"/>
      <c r="B99" s="36" t="n"/>
      <c r="D99" s="78" t="inlineStr">
        <is>
          <t>NOR</t>
        </is>
      </c>
      <c r="E99" s="9">
        <f>IF(OR(EXACT(D99,$C$101),EXACT(D99,$C$95),EXACT(D99,$C$100),EXACT(D99,$C$94),EXACT(D99,$C$97),EXACT(D99,$C$96),EXACT(D99,$C$98),EXACT(D99,$C$99),EXACT(D99,$C$102),EXACT(D99,$C$103),EXACT(D99,$C$104),EXACT(D99,$C$105),EXACT(D99,$C$106),EXACT(D99,$C$107),EXACT(D99,$C$108),EXACT(D99,$C$109)),2,0)</f>
        <v/>
      </c>
    </row>
    <row r="100" ht="12.75" customHeight="1">
      <c r="A100" s="17" t="n"/>
      <c r="B100" s="36" t="n"/>
      <c r="D100" s="78" t="inlineStr">
        <is>
          <t>MEX</t>
        </is>
      </c>
      <c r="E100" s="9">
        <f>IF(OR(EXACT(D100,$C$101),EXACT(D100,$C$95),EXACT(D100,$C$100),EXACT(D100,$C$94),EXACT(D100,$C$97),EXACT(D100,$C$96),EXACT(D100,$C$98),EXACT(D100,$C$99),EXACT(D100,$C$102),EXACT(D100,$C$103),EXACT(D100,$C$104),EXACT(D100,$C$105),EXACT(D100,$C$106),EXACT(D100,$C$107),EXACT(D100,$C$108),EXACT(D100,$C$109)),2,0)</f>
        <v/>
      </c>
    </row>
    <row r="101" ht="12.75" customHeight="1">
      <c r="A101" s="17" t="n"/>
      <c r="B101" s="36" t="n"/>
      <c r="D101" s="78" t="inlineStr">
        <is>
          <t>ENG</t>
        </is>
      </c>
      <c r="E101" s="9">
        <f>IF(OR(EXACT(D101,$C$101),EXACT(D101,$C$95),EXACT(D101,$C$100),EXACT(D101,$C$94),EXACT(D101,$C$97),EXACT(D101,$C$96),EXACT(D101,$C$98),EXACT(D101,$C$99),EXACT(D101,$C$102),EXACT(D101,$C$103),EXACT(D101,$C$104),EXACT(D101,$C$105),EXACT(D101,$C$106),EXACT(D101,$C$107),EXACT(D101,$C$108),EXACT(D101,$C$109)),2,0)</f>
        <v/>
      </c>
    </row>
    <row r="102" ht="12.75" customHeight="1">
      <c r="D102" s="78" t="inlineStr">
        <is>
          <t>USA</t>
        </is>
      </c>
      <c r="E102" s="9">
        <f>IF(OR(EXACT(D102,$C$101),EXACT(D102,$C$95),EXACT(D102,$C$100),EXACT(D102,$C$94),EXACT(D102,$C$97),EXACT(D102,$C$96),EXACT(D102,$C$98),EXACT(D102,$C$99),EXACT(D102,$C$102),EXACT(D102,$C$103),EXACT(D102,$C$104),EXACT(D102,$C$105),EXACT(D102,$C$106),EXACT(D102,$C$107),EXACT(D102,$C$108),EXACT(D102,$C$109)),2,0)</f>
        <v/>
      </c>
    </row>
    <row r="103" ht="12.75" customHeight="1">
      <c r="D103" s="78" t="inlineStr">
        <is>
          <t>BEL</t>
        </is>
      </c>
      <c r="E103" s="9">
        <f>IF(OR(EXACT(D103,$C$101),EXACT(D103,$C$95),EXACT(D103,$C$100),EXACT(D103,$C$94),EXACT(D103,$C$97),EXACT(D103,$C$96),EXACT(D103,$C$98),EXACT(D103,$C$99),EXACT(D103,$C$102),EXACT(D103,$C$103),EXACT(D103,$C$104),EXACT(D103,$C$105),EXACT(D103,$C$106),EXACT(D103,$C$107),EXACT(D103,$C$108),EXACT(D103,$C$109)),2,0)</f>
        <v/>
      </c>
    </row>
    <row r="104" ht="14.25" customHeight="1">
      <c r="D104" s="78" t="inlineStr">
        <is>
          <t>COL</t>
        </is>
      </c>
      <c r="E104" s="9">
        <f>IF(OR(EXACT(D104,$C$101),EXACT(D104,$C$95),EXACT(D104,$C$100),EXACT(D104,$C$94),EXACT(D104,$C$97),EXACT(D104,$C$96),EXACT(D104,$C$98),EXACT(D104,$C$99),EXACT(D104,$C$102),EXACT(D104,$C$103),EXACT(D104,$C$104),EXACT(D104,$C$105),EXACT(D104,$C$106),EXACT(D104,$C$107),EXACT(D104,$C$108),EXACT(D104,$C$109)),2,0)</f>
        <v/>
      </c>
    </row>
    <row r="105" ht="12.75" customHeight="1">
      <c r="D105" s="78" t="inlineStr">
        <is>
          <t>ESP</t>
        </is>
      </c>
      <c r="E105" s="9">
        <f>IF(OR(EXACT(D105,$C$101),EXACT(D105,$C$95),EXACT(D105,$C$100),EXACT(D105,$C$94),EXACT(D105,$C$97),EXACT(D105,$C$96),EXACT(D105,$C$98),EXACT(D105,$C$99),EXACT(D105,$C$102),EXACT(D105,$C$103),EXACT(D105,$C$104),EXACT(D105,$C$105),EXACT(D105,$C$106),EXACT(D105,$C$107),EXACT(D105,$C$108),EXACT(D105,$C$109)),2,0)</f>
        <v/>
      </c>
    </row>
    <row r="106" ht="12.75" customHeight="1">
      <c r="D106" s="78" t="inlineStr">
        <is>
          <t>SUI</t>
        </is>
      </c>
      <c r="E106" s="9">
        <f>IF(OR(EXACT(D106,$C$101),EXACT(D106,$C$95),EXACT(D106,$C$100),EXACT(D106,$C$94),EXACT(D106,$C$97),EXACT(D106,$C$96),EXACT(D106,$C$98),EXACT(D106,$C$99),EXACT(D106,$C$102),EXACT(D106,$C$103),EXACT(D106,$C$104),EXACT(D106,$C$105),EXACT(D106,$C$106),EXACT(D106,$C$107),EXACT(D106,$C$108),EXACT(D106,$C$109)),2,0)</f>
        <v/>
      </c>
    </row>
    <row r="107">
      <c r="D107" s="78" t="inlineStr">
        <is>
          <t>ARG</t>
        </is>
      </c>
      <c r="E107" s="9">
        <f>IF(OR(EXACT(D107,$C$101),EXACT(D107,$C$95),EXACT(D107,$C$100),EXACT(D107,$C$94),EXACT(D107,$C$97),EXACT(D107,$C$96),EXACT(D107,$C$98),EXACT(D107,$C$99),EXACT(D107,$C$102),EXACT(D107,$C$103),EXACT(D107,$C$104),EXACT(D107,$C$105),EXACT(D107,$C$106),EXACT(D107,$C$107),EXACT(D107,$C$108),EXACT(D107,$C$109)),2,0)</f>
        <v/>
      </c>
    </row>
    <row r="108">
      <c r="D108" s="78" t="inlineStr">
        <is>
          <t>POR</t>
        </is>
      </c>
      <c r="E108" s="9">
        <f>IF(OR(EXACT(D108,$C$101),EXACT(D108,$C$95),EXACT(D108,$C$100),EXACT(D108,$C$94),EXACT(D108,$C$97),EXACT(D108,$C$96),EXACT(D108,$C$98),EXACT(D108,$C$99),EXACT(D108,$C$102),EXACT(D108,$C$103),EXACT(D108,$C$104),EXACT(D108,$C$105),EXACT(D108,$C$106),EXACT(D108,$C$107),EXACT(D108,$C$108),EXACT(D108,$C$109)),2,0)</f>
        <v/>
      </c>
    </row>
    <row r="109">
      <c r="A109" s="50" t="n"/>
      <c r="B109" s="51" t="n"/>
      <c r="C109" s="51" t="n"/>
      <c r="D109" s="54" t="inlineStr">
        <is>
          <t>TUR</t>
        </is>
      </c>
      <c r="E109" s="9">
        <f>IF(OR(EXACT(D109,$C$101),EXACT(D109,$C$95),EXACT(D109,$C$100),EXACT(D109,$C$94),EXACT(D109,$C$97),EXACT(D109,$C$96),EXACT(D109,$C$98),EXACT(D109,$C$99),EXACT(D109,$C$102),EXACT(D109,$C$103),EXACT(D109,$C$104),EXACT(D109,$C$105),EXACT(D109,$C$106),EXACT(D109,$C$107),EXACT(D109,$C$108),EXACT(D109,$C$109)),2,0)</f>
        <v/>
      </c>
    </row>
    <row r="110" ht="36" customFormat="1" customHeight="1" s="24">
      <c r="A110" s="103" t="n"/>
      <c r="B110" s="115" t="n"/>
      <c r="C110" s="66" t="inlineStr">
        <is>
          <t>1/8</t>
        </is>
      </c>
      <c r="D110" s="85" t="inlineStr">
        <is>
          <t>Puolivälieriin (4p)</t>
        </is>
      </c>
      <c r="E110" s="116" t="n"/>
    </row>
    <row r="111" ht="15.75" customHeight="1">
      <c r="A111" s="17" t="n"/>
      <c r="B111" s="36" t="n"/>
      <c r="D111" s="78" t="inlineStr">
        <is>
          <t>FRA</t>
        </is>
      </c>
      <c r="E111" s="9">
        <f>IF(OR(EXACT(D111,$C$111),EXACT(D111,$C$112),EXACT(D111,$C$113),EXACT(D111,$C$114),EXACT(D111,$C$115),EXACT(D111,$C$116),EXACT(D111,$C$117),EXACT(D111,$C$118)),4,0)</f>
        <v/>
      </c>
    </row>
    <row r="112" ht="12.75" customHeight="1">
      <c r="A112" s="17" t="n"/>
      <c r="B112" s="36" t="n"/>
      <c r="C112" s="52" t="n"/>
      <c r="D112" s="78" t="inlineStr">
        <is>
          <t>NED</t>
        </is>
      </c>
      <c r="E112" s="9">
        <f>IF(OR(EXACT(D112,$C$111),EXACT(D112,$C$112),EXACT(D112,$C$113),EXACT(D112,$C$114),EXACT(D112,$C$115),EXACT(D112,$C$116),EXACT(D112,$C$117),EXACT(D112,$C$118)),4,0)</f>
        <v/>
      </c>
    </row>
    <row r="113" ht="14.25" customHeight="1">
      <c r="A113" s="17" t="n"/>
      <c r="B113" s="36" t="n"/>
      <c r="C113" s="52" t="n"/>
      <c r="D113" s="78" t="inlineStr">
        <is>
          <t>BRA</t>
        </is>
      </c>
      <c r="E113" s="9">
        <f>IF(OR(EXACT(D113,$C$111),EXACT(D113,$C$112),EXACT(D113,$C$113),EXACT(D113,$C$114),EXACT(D113,$C$115),EXACT(D113,$C$116),EXACT(D113,$C$117),EXACT(D113,$C$118)),4,0)</f>
        <v/>
      </c>
    </row>
    <row r="114" ht="12.75" customHeight="1">
      <c r="A114" s="17" t="n"/>
      <c r="B114" s="36" t="n"/>
      <c r="C114" s="52" t="n"/>
      <c r="D114" s="78" t="inlineStr">
        <is>
          <t>ENG</t>
        </is>
      </c>
      <c r="E114" s="9">
        <f>IF(OR(EXACT(D114,$C$111),EXACT(D114,$C$112),EXACT(D114,$C$113),EXACT(D114,$C$114),EXACT(D114,$C$115),EXACT(D114,$C$116),EXACT(D114,$C$117),EXACT(D114,$C$118)),4,0)</f>
        <v/>
      </c>
    </row>
    <row r="115" ht="12.75" customHeight="1">
      <c r="C115" s="78" t="n"/>
      <c r="D115" s="78" t="inlineStr">
        <is>
          <t>ESP</t>
        </is>
      </c>
      <c r="E115" s="9">
        <f>IF(OR(EXACT(D115,$C$111),EXACT(D115,$C$112),EXACT(D115,$C$113),EXACT(D115,$C$114),EXACT(D115,$C$115),EXACT(D115,$C$116),EXACT(D115,$C$117),EXACT(D115,$C$118)),4,0)</f>
        <v/>
      </c>
    </row>
    <row r="116">
      <c r="C116" s="78" t="n"/>
      <c r="D116" s="78" t="inlineStr">
        <is>
          <t>BEL</t>
        </is>
      </c>
      <c r="E116" s="9">
        <f>IF(OR(EXACT(D116,$C$111),EXACT(D116,$C$112),EXACT(D116,$C$113),EXACT(D116,$C$114),EXACT(D116,$C$115),EXACT(D116,$C$116),EXACT(D116,$C$117),EXACT(D116,$C$118)),4,0)</f>
        <v/>
      </c>
    </row>
    <row r="117">
      <c r="C117" s="78" t="n"/>
      <c r="D117" s="78" t="inlineStr">
        <is>
          <t>ARG</t>
        </is>
      </c>
      <c r="E117" s="9">
        <f>IF(OR(EXACT(D117,$C$111),EXACT(D117,$C$112),EXACT(D117,$C$113),EXACT(D117,$C$114),EXACT(D117,$C$115),EXACT(D117,$C$116),EXACT(D117,$C$117),EXACT(D117,$C$118)),4,0)</f>
        <v/>
      </c>
    </row>
    <row r="118">
      <c r="C118" s="78" t="n"/>
      <c r="D118" s="78" t="inlineStr">
        <is>
          <t>POR</t>
        </is>
      </c>
      <c r="E118" s="9">
        <f>IF(OR(EXACT(D118,$C$111),EXACT(D118,$C$112),EXACT(D118,$C$113),EXACT(D118,$C$114),EXACT(D118,$C$115),EXACT(D118,$C$116),EXACT(D118,$C$117),EXACT(D118,$C$118)),4,0)</f>
        <v/>
      </c>
    </row>
    <row r="119" ht="27.75" customFormat="1" customHeight="1" s="64">
      <c r="A119" s="55" t="n"/>
      <c r="B119" s="55" t="n"/>
      <c r="C119" s="56" t="inlineStr">
        <is>
          <t>1/4</t>
        </is>
      </c>
      <c r="D119" s="105" t="inlineStr">
        <is>
          <t>Välieriin (8p)</t>
        </is>
      </c>
      <c r="E119" s="120" t="n"/>
    </row>
    <row r="120">
      <c r="A120" s="17" t="n"/>
      <c r="B120" s="36" t="n"/>
      <c r="D120" s="78" t="inlineStr">
        <is>
          <t>ESP</t>
        </is>
      </c>
      <c r="E120" s="9">
        <f>IF(OR(EXACT(D120,$C$120),EXACT(D120,$C$121),EXACT(D120,$C$122),EXACT(D120,$C$123)),8,0)</f>
        <v/>
      </c>
    </row>
    <row r="121">
      <c r="A121" s="57" t="n"/>
      <c r="B121" s="36" t="n"/>
      <c r="D121" s="78" t="inlineStr">
        <is>
          <t>ARG</t>
        </is>
      </c>
      <c r="E121" s="9">
        <f>IF(OR(EXACT(D121,$C$120),EXACT(D121,$C$121),EXACT(D121,$C$122),EXACT(D121,$C$123)),8,0)</f>
        <v/>
      </c>
    </row>
    <row r="122">
      <c r="D122" s="78" t="inlineStr">
        <is>
          <t>FRA</t>
        </is>
      </c>
      <c r="E122" s="9">
        <f>IF(OR(EXACT(D122,$C$120),EXACT(D122,$C$121),EXACT(D122,$C$122),EXACT(D122,$C$123)),8,0)</f>
        <v/>
      </c>
    </row>
    <row r="123">
      <c r="C123" s="78" t="n"/>
      <c r="D123" s="78" t="inlineStr">
        <is>
          <t>BRA</t>
        </is>
      </c>
      <c r="E123" s="9">
        <f>IF(OR(EXACT(D123,$C$120),EXACT(D123,$C$121),EXACT(D123,$C$122),EXACT(D123,$C$123)),8,0)</f>
        <v/>
      </c>
    </row>
    <row r="124" ht="27" customFormat="1" customHeight="1" s="65">
      <c r="C124" s="66" t="inlineStr">
        <is>
          <t>1/2</t>
        </is>
      </c>
      <c r="D124" s="107" t="inlineStr">
        <is>
          <t>Finaaliin (15p)</t>
        </is>
      </c>
      <c r="E124" s="116" t="n"/>
    </row>
    <row r="125">
      <c r="A125" s="36" t="n"/>
      <c r="B125" s="58" t="n"/>
      <c r="C125" s="78" t="n"/>
      <c r="D125" s="78" t="inlineStr">
        <is>
          <t>ESP</t>
        </is>
      </c>
      <c r="E125" s="9">
        <f>IF(OR(EXACT(D125,$C$125),EXACT(D125,$C$126)),15,0)</f>
        <v/>
      </c>
    </row>
    <row r="126">
      <c r="D126" s="78" t="inlineStr">
        <is>
          <t>ARG</t>
        </is>
      </c>
      <c r="E126" s="9">
        <f>IF(OR(EXACT(D126,$C$125),EXACT(D126,$C$126)),15,0)</f>
        <v/>
      </c>
    </row>
    <row r="127" ht="27" customFormat="1" customHeight="1" s="65">
      <c r="C127" s="66" t="inlineStr">
        <is>
          <t>1/1</t>
        </is>
      </c>
      <c r="D127" s="109" t="inlineStr">
        <is>
          <t>Mestari (30p)</t>
        </is>
      </c>
      <c r="E127" s="116" t="n"/>
    </row>
    <row r="128" ht="23.25" customFormat="1" customHeight="1" s="26">
      <c r="A128" s="102" t="inlineStr">
        <is>
          <t>Maailman Mestari</t>
        </is>
      </c>
      <c r="B128" s="51" t="n"/>
      <c r="C128" s="97" t="n"/>
      <c r="D128" s="97" t="inlineStr">
        <is>
          <t>ESP</t>
        </is>
      </c>
      <c r="E128" s="49">
        <f>IF(EXACT($C128,D128),30,0)</f>
        <v/>
      </c>
    </row>
    <row r="129" ht="23.25" customFormat="1" customHeight="1" s="68">
      <c r="A129" s="95" t="inlineStr">
        <is>
          <t>CUP-Vaiheen pisteet yhteensä</t>
        </is>
      </c>
      <c r="B129" s="118" t="n"/>
      <c r="C129" s="118" t="n"/>
      <c r="D129" s="118" t="n"/>
      <c r="E129" s="67">
        <f>SUM(E94:E109,E111:E118,E120:E123,E125:E126,E128)</f>
        <v/>
      </c>
    </row>
    <row r="130" ht="70.5" customFormat="1" customHeight="1" s="63">
      <c r="A130" s="101" t="inlineStr">
        <is>
          <t>Maalintekijä: Veikkaa oikealle yhtä maalintekijää. Saat 1p per hänen tekemänsä maalit koko turnauksessa, pois lukien rankkarikisat.</t>
        </is>
      </c>
      <c r="B130" s="121" t="n"/>
      <c r="C130" s="121" t="n"/>
      <c r="D130" s="71" t="inlineStr">
        <is>
          <t>Mbappé</t>
        </is>
      </c>
      <c r="E130" s="62" t="n"/>
    </row>
    <row r="131" ht="57" customFormat="1" customHeight="1" s="28">
      <c r="A131" s="96" t="inlineStr">
        <is>
          <t>Lohkovaiheen, CUP-Vaiheen ja Maalintekijäpisteet yhteensä</t>
        </is>
      </c>
      <c r="B131" s="122" t="n"/>
      <c r="C131" s="122" t="n"/>
      <c r="D131" s="122" t="n"/>
      <c r="E131" s="61">
        <f>E91+E129+E130</f>
        <v/>
      </c>
    </row>
    <row r="132">
      <c r="D132" s="5" t="n"/>
    </row>
    <row r="133">
      <c r="D133" s="5" t="n"/>
    </row>
    <row r="134">
      <c r="D134" s="5" t="n"/>
    </row>
    <row r="135">
      <c r="B135" s="5" t="n"/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C161" s="1" t="n"/>
      <c r="D161" s="5" t="n"/>
    </row>
    <row r="162">
      <c r="C162" s="1" t="n"/>
      <c r="D162" s="5" t="n"/>
    </row>
    <row r="163">
      <c r="C163" s="1" t="n"/>
      <c r="D163" s="5" t="n"/>
    </row>
    <row r="164">
      <c r="C164" s="1" t="n"/>
      <c r="D164" s="5" t="n"/>
    </row>
    <row r="165">
      <c r="C165" s="1" t="n"/>
      <c r="D165" s="5" t="n"/>
    </row>
    <row r="166">
      <c r="C166" s="1" t="n"/>
      <c r="D166" s="5" t="n"/>
    </row>
    <row r="167">
      <c r="C167" s="1" t="n"/>
      <c r="D167" s="5" t="n"/>
    </row>
    <row r="168">
      <c r="C168" s="1" t="n"/>
      <c r="D168" s="5" t="n"/>
    </row>
    <row r="169">
      <c r="C169" s="1" t="n"/>
      <c r="D169" s="5" t="n"/>
    </row>
    <row r="170">
      <c r="C170" s="1" t="n"/>
      <c r="D170" s="5" t="n"/>
    </row>
    <row r="171">
      <c r="C171" s="1" t="n"/>
      <c r="D171" s="5" t="n"/>
    </row>
    <row r="172">
      <c r="C172" s="1" t="n"/>
      <c r="D172" s="5" t="n"/>
    </row>
    <row r="173">
      <c r="C173" s="1" t="n"/>
      <c r="D173" s="5" t="n"/>
    </row>
    <row r="174">
      <c r="C174" s="1" t="n"/>
      <c r="D174" s="5" t="n"/>
    </row>
    <row r="175">
      <c r="C175" s="1" t="n"/>
      <c r="D175" s="5" t="n"/>
    </row>
    <row r="176">
      <c r="C176" s="1" t="n"/>
      <c r="D176" s="5" t="n"/>
    </row>
    <row r="177">
      <c r="C177" s="1" t="n"/>
      <c r="D177" s="5" t="n"/>
    </row>
    <row r="178">
      <c r="C178" s="1" t="n"/>
      <c r="D178" s="5" t="n"/>
    </row>
    <row r="179">
      <c r="C179" s="1" t="n"/>
      <c r="D179" s="5" t="n"/>
    </row>
    <row r="180">
      <c r="C180" s="1" t="n"/>
      <c r="D180" s="5" t="n"/>
    </row>
    <row r="181">
      <c r="C181" s="1" t="n"/>
      <c r="D181" s="5" t="n"/>
    </row>
    <row r="182">
      <c r="C182" s="1" t="n"/>
      <c r="D182" s="5" t="n"/>
    </row>
    <row r="183">
      <c r="C183" s="1" t="n"/>
      <c r="D183" s="5" t="n"/>
    </row>
    <row r="184">
      <c r="C184" s="1" t="n"/>
      <c r="D184" s="5" t="n"/>
    </row>
    <row r="185">
      <c r="C185" s="1" t="n"/>
      <c r="D185" s="5" t="n"/>
    </row>
    <row r="186">
      <c r="C186" s="1" t="n"/>
      <c r="D186" s="5" t="n"/>
    </row>
    <row r="187">
      <c r="C187" s="1" t="n"/>
      <c r="D187" s="5" t="n"/>
    </row>
    <row r="188">
      <c r="C188" s="1" t="n"/>
      <c r="D188" s="5" t="n"/>
    </row>
    <row r="189">
      <c r="C189" s="1" t="n"/>
      <c r="D189" s="5" t="n"/>
    </row>
    <row r="190">
      <c r="C190" s="1" t="n"/>
      <c r="D190" s="5" t="n"/>
    </row>
    <row r="191">
      <c r="C191" s="1" t="n"/>
      <c r="D191" s="5" t="n"/>
    </row>
    <row r="192">
      <c r="C192" s="1" t="n"/>
      <c r="D192" s="5" t="n"/>
    </row>
    <row r="193">
      <c r="C193" s="1" t="n"/>
      <c r="D193" s="5" t="n"/>
    </row>
    <row r="194">
      <c r="C194" s="1" t="n"/>
      <c r="D194" s="5" t="n"/>
    </row>
    <row r="195">
      <c r="C195" s="1" t="n"/>
      <c r="D195" s="5" t="n"/>
    </row>
    <row r="196">
      <c r="C196" s="1" t="n"/>
      <c r="D196" s="5" t="n"/>
    </row>
    <row r="197">
      <c r="C197" s="1" t="n"/>
      <c r="D197" s="5" t="n"/>
    </row>
    <row r="198">
      <c r="C198" s="1" t="n"/>
      <c r="D198" s="5" t="n"/>
    </row>
    <row r="199">
      <c r="C199" s="1" t="n"/>
      <c r="D199" s="5" t="n"/>
    </row>
    <row r="200">
      <c r="C200" s="1" t="n"/>
      <c r="D200" s="5" t="n"/>
    </row>
    <row r="201">
      <c r="C201" s="1" t="n"/>
      <c r="D201" s="5" t="n"/>
    </row>
    <row r="202">
      <c r="C202" s="1" t="n"/>
      <c r="D202" s="5" t="n"/>
    </row>
    <row r="203">
      <c r="C203" s="1" t="n"/>
      <c r="D203" s="5" t="n"/>
    </row>
    <row r="204">
      <c r="C204" s="1" t="n"/>
      <c r="D204" s="5" t="n"/>
    </row>
    <row r="205">
      <c r="C205" s="1" t="n"/>
      <c r="D205" s="5" t="n"/>
    </row>
    <row r="206">
      <c r="C206" s="1" t="n"/>
      <c r="D206" s="5" t="n"/>
    </row>
    <row r="207">
      <c r="C207" s="1" t="n"/>
      <c r="D207" s="5" t="n"/>
    </row>
    <row r="208">
      <c r="C208" s="1" t="n"/>
      <c r="D208" s="5" t="n"/>
    </row>
    <row r="209">
      <c r="C209" s="1" t="n"/>
      <c r="D209" s="5" t="n"/>
    </row>
    <row r="210">
      <c r="C210" s="1" t="n"/>
      <c r="D210" s="5" t="n"/>
    </row>
    <row r="211">
      <c r="C211" s="1" t="n"/>
      <c r="D211" s="5" t="n"/>
    </row>
    <row r="212">
      <c r="C212" s="1" t="n"/>
      <c r="D212" s="5" t="n"/>
    </row>
    <row r="213">
      <c r="C213" s="1" t="n"/>
      <c r="D213" s="5" t="n"/>
    </row>
    <row r="214">
      <c r="C214" s="1" t="n"/>
      <c r="D214" s="5" t="n"/>
    </row>
    <row r="215">
      <c r="C215" s="1" t="n"/>
      <c r="D215" s="5" t="n"/>
    </row>
    <row r="216">
      <c r="C216" s="1" t="n"/>
      <c r="D216" s="5" t="n"/>
    </row>
    <row r="217">
      <c r="C217" s="1" t="n"/>
      <c r="D217" s="5" t="n"/>
    </row>
    <row r="218">
      <c r="C218" s="1" t="n"/>
      <c r="D218" s="5" t="n"/>
    </row>
    <row r="219">
      <c r="C219" s="1" t="n"/>
      <c r="D219" s="5" t="n"/>
    </row>
    <row r="220">
      <c r="C220" s="1" t="n"/>
      <c r="D220" s="5" t="n"/>
    </row>
    <row r="221">
      <c r="C221" s="1" t="n"/>
      <c r="D221" s="5" t="n"/>
    </row>
    <row r="222">
      <c r="C222" s="1" t="n"/>
      <c r="D222" s="5" t="n"/>
    </row>
    <row r="223">
      <c r="C223" s="1" t="n"/>
      <c r="D223" s="5" t="n"/>
    </row>
    <row r="224">
      <c r="C224" s="1" t="n"/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</sheetData>
  <mergeCells count="29">
    <mergeCell ref="A90:C90"/>
    <mergeCell ref="A91:D91"/>
    <mergeCell ref="A131:D131"/>
    <mergeCell ref="A82:E82"/>
    <mergeCell ref="D119:E119"/>
    <mergeCell ref="A61:E61"/>
    <mergeCell ref="A110:B110"/>
    <mergeCell ref="D124:E124"/>
    <mergeCell ref="A54:E54"/>
    <mergeCell ref="A128:B128"/>
    <mergeCell ref="A75:E75"/>
    <mergeCell ref="A12:E12"/>
    <mergeCell ref="A2:B2"/>
    <mergeCell ref="A26:E26"/>
    <mergeCell ref="A33:E33"/>
    <mergeCell ref="A47:E47"/>
    <mergeCell ref="A5:E5"/>
    <mergeCell ref="A130:C130"/>
    <mergeCell ref="D93:E93"/>
    <mergeCell ref="D127:E127"/>
    <mergeCell ref="A4:E4"/>
    <mergeCell ref="C94:C109"/>
    <mergeCell ref="A19:E19"/>
    <mergeCell ref="A68:E68"/>
    <mergeCell ref="A93:B93"/>
    <mergeCell ref="A129:D129"/>
    <mergeCell ref="D110:E110"/>
    <mergeCell ref="A40:E40"/>
    <mergeCell ref="A92:E92"/>
  </mergeCells>
  <pageMargins left="0.7479166666666667" right="0.7479166666666667" top="0.9840277777777778" bottom="0.9840277777777778" header="0.5118055555555556" footer="0.5118055555555556"/>
  <pageSetup orientation="landscape" paperSize="9" firstPageNumber="0" horizontalDpi="300" verticalDpi="300"/>
</worksheet>
</file>

<file path=xl/worksheets/sheet2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N33"/>
  <sheetViews>
    <sheetView zoomScaleNormal="100" workbookViewId="0">
      <selection activeCell="B2" sqref="B2"/>
    </sheetView>
  </sheetViews>
  <sheetFormatPr baseColWidth="8" defaultRowHeight="12.75"/>
  <cols>
    <col width="1.42578125" customWidth="1" style="7" min="1" max="1"/>
    <col width="10" customWidth="1" style="7" min="2" max="2"/>
    <col width="9.28515625" customWidth="1" style="7" min="3" max="3"/>
    <col width="10" customWidth="1" style="7" min="4" max="4"/>
    <col width="9.28515625" customWidth="1" style="7" min="5" max="5"/>
    <col width="10" customWidth="1" style="7" min="6" max="6"/>
    <col width="9.28515625" customWidth="1" style="7" min="7" max="7"/>
    <col width="10" customWidth="1" style="7" min="8" max="8"/>
    <col width="9.140625" customWidth="1" style="7" min="9" max="16384"/>
  </cols>
  <sheetData>
    <row r="1" ht="23.25" customFormat="1" customHeight="1" s="20">
      <c r="B1" s="21" t="inlineStr">
        <is>
          <t>OSALLISTUMINEN</t>
        </is>
      </c>
    </row>
    <row r="2" ht="15" customFormat="1" customHeight="1" s="18">
      <c r="B2" s="19" t="inlineStr">
        <is>
          <t>1. Ilmoittautuminen: Ke 10.6. klo 16.00 mennessä --&gt; 30 EUR maksettu Mobile Pay 0458500205 tai tilisiirto FI28 4405 0010 3120 42</t>
        </is>
      </c>
    </row>
    <row r="3" ht="15" customHeight="1">
      <c r="B3" s="19" t="inlineStr">
        <is>
          <t xml:space="preserve">2. Ke 10.6. klo 23:59 mennessä oman täytetyn Excelin toimittaminen Jypelle (upload OneDrive-kansioon tai Email jype.multanen@gmail.com </t>
        </is>
      </c>
    </row>
    <row r="5" ht="18" customHeight="1">
      <c r="B5" s="33" t="inlineStr">
        <is>
          <t xml:space="preserve">Pisteet: </t>
        </is>
      </c>
      <c r="C5" s="34" t="n"/>
      <c r="D5" s="34" t="n"/>
      <c r="E5" s="34" t="n"/>
      <c r="F5" s="34" t="n"/>
      <c r="G5" s="34" t="n"/>
      <c r="H5" s="34" t="n"/>
    </row>
    <row r="6" ht="15" customHeight="1">
      <c r="B6" s="19" t="inlineStr">
        <is>
          <t>1. Lohkovaihe</t>
        </is>
      </c>
      <c r="D6" s="8" t="n"/>
      <c r="F6" s="8" t="n"/>
      <c r="H6" s="8" t="n"/>
    </row>
    <row r="7">
      <c r="B7" s="17" t="inlineStr">
        <is>
          <t>- Oikea tulos = 3p</t>
        </is>
      </c>
    </row>
    <row r="8">
      <c r="B8" s="17" t="inlineStr">
        <is>
          <t>- Väärä tulos, mutta voittaja tai tasapeli veikattu oikein = 1p</t>
        </is>
      </c>
    </row>
    <row r="9">
      <c r="B9" s="17" t="inlineStr">
        <is>
          <t>- Väärä veikkaus (ei auta vaikka vain toisen joukkueen maalit olisi oikein) = 0 p</t>
        </is>
      </c>
    </row>
    <row r="10" ht="15" customHeight="1">
      <c r="B10" s="19" t="inlineStr">
        <is>
          <t>2. Lohkovaiheen sikajengi (8p)</t>
        </is>
      </c>
    </row>
    <row r="11" ht="39" customHeight="1">
      <c r="B11" s="110" t="inlineStr">
        <is>
          <t>Lohkovaiheessa eniten keltaisia ja punaisia kortteja saanut joukkue. Lasketaan niin että lohkopeleissä keltaisista korteista 1 p, kahdesta keltaisesta tullut punainen 2 p ja suora punainen 3 p. Tulos katsotaan UEFA:n tilastosta, jos ristiriitoja. Jos useammalla joukkueella sama määrä, niin kaikille oikeille veikanneille 4 pistettä.</t>
        </is>
      </c>
    </row>
    <row r="12" ht="15" customHeight="1">
      <c r="B12" s="19" t="inlineStr">
        <is>
          <t xml:space="preserve">3. Maalintekijä (1p per maali). </t>
        </is>
      </c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</row>
    <row r="13">
      <c r="B13" s="17" t="inlineStr">
        <is>
          <t>Saat veikata tähän ketä tahansa yhtä pelaajaa. Saat 1 p per tämän pelaajan koko kisoissa tekemä maali.</t>
        </is>
      </c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</row>
    <row r="14" ht="15" customHeight="1">
      <c r="A14" s="8" t="n"/>
      <c r="B14" s="19" t="inlineStr">
        <is>
          <t>4. Cup-vaihe</t>
        </is>
      </c>
      <c r="C14" s="8" t="n"/>
      <c r="D14" s="8" t="n"/>
      <c r="F14" s="8" t="n"/>
      <c r="G14" s="8" t="n"/>
      <c r="H14" s="8" t="n"/>
    </row>
    <row r="15">
      <c r="A15" s="8" t="n"/>
      <c r="B15" s="17" t="inlineStr">
        <is>
          <t>- 16 parhaan joukkoon = 2p per joukkue</t>
        </is>
      </c>
      <c r="C15" s="8" t="n"/>
      <c r="D15" s="8" t="n"/>
      <c r="F15" s="8" t="n"/>
      <c r="G15" s="8" t="n"/>
      <c r="H15" s="8" t="n"/>
    </row>
    <row r="16">
      <c r="B16" s="17" t="inlineStr">
        <is>
          <t>- 8 parhaan joukkoon = 4p per joukkue</t>
        </is>
      </c>
      <c r="C16" s="4" t="n"/>
      <c r="G16" s="4" t="n"/>
    </row>
    <row r="17">
      <c r="B17" s="17" t="inlineStr">
        <is>
          <t>- Välieriin pääsevät joukkueet = 8p per joukkue</t>
        </is>
      </c>
    </row>
    <row r="18">
      <c r="A18" s="8" t="n"/>
      <c r="B18" s="17" t="inlineStr">
        <is>
          <t>- Finaaliin päässeet joukkueet = 15p lisää per joukkue</t>
        </is>
      </c>
      <c r="E18" s="4" t="n"/>
    </row>
    <row r="19">
      <c r="B19" s="17" t="inlineStr">
        <is>
          <t>- Finaalin voittaja = 30p lisää.</t>
        </is>
      </c>
    </row>
    <row r="21" ht="18" customHeight="1">
      <c r="B21" s="33" t="inlineStr">
        <is>
          <t>Voitonjako</t>
        </is>
      </c>
      <c r="D21" s="17" t="inlineStr">
        <is>
          <t>pelaajaa</t>
        </is>
      </c>
      <c r="E21" s="17" t="inlineStr">
        <is>
          <t>panos/hlö</t>
        </is>
      </c>
      <c r="F21" s="17" t="inlineStr">
        <is>
          <t>POTTI</t>
        </is>
      </c>
      <c r="G21" s="17" t="n"/>
      <c r="H21" s="17" t="n"/>
      <c r="I21" s="17" t="n"/>
    </row>
    <row r="22">
      <c r="B22" s="17" t="n"/>
      <c r="C22" s="17" t="n"/>
      <c r="D22" s="17" t="inlineStr">
        <is>
          <t>15</t>
        </is>
      </c>
      <c r="E22" s="17" t="inlineStr">
        <is>
          <t>30</t>
        </is>
      </c>
      <c r="F22" s="17">
        <f>D22*E22</f>
        <v/>
      </c>
      <c r="G22" s="17" t="n"/>
      <c r="H22" s="17" t="n"/>
      <c r="I22" s="17" t="n"/>
    </row>
    <row r="23">
      <c r="B23" s="17" t="inlineStr">
        <is>
          <t>1. = 70%</t>
        </is>
      </c>
      <c r="F23" s="38">
        <f>F22*0.7*1</f>
        <v/>
      </c>
    </row>
    <row r="24">
      <c r="B24" s="17" t="inlineStr">
        <is>
          <t>2. = 20%</t>
        </is>
      </c>
      <c r="F24" s="38">
        <f>F22*0.2</f>
        <v/>
      </c>
    </row>
    <row r="25">
      <c r="B25" s="17" t="inlineStr">
        <is>
          <t>3. = 10%</t>
        </is>
      </c>
      <c r="F25" s="38">
        <f>F22*0.1</f>
        <v/>
      </c>
    </row>
    <row r="26">
      <c r="B26" s="17" t="inlineStr">
        <is>
          <t xml:space="preserve">Tasatilanteessa osuus jaetaan tasan olevien pelaajien kesken. </t>
        </is>
      </c>
    </row>
    <row r="27">
      <c r="B27" s="17" t="inlineStr">
        <is>
          <t>Esim: Kaksi pelaajaa jaetulla ykkössijalla: Molemmat saavat (70+20)/2 = 45%. Seuraavaksi paras 10% tai jos useampia jaetaan heidän kesken.</t>
        </is>
      </c>
    </row>
    <row r="28">
      <c r="B28" s="17" t="inlineStr">
        <is>
          <t>Esim: Kolme tai useampi pelaaja jaetulla ykkössijalla: Koko potti jaetaan näiden kesken.</t>
        </is>
      </c>
    </row>
    <row r="29">
      <c r="B29" s="17" t="inlineStr">
        <is>
          <t>Esim: Yksi voittaja, kaksi tai useampi pelaaja jaetulla kakkossijalla. Voittajalle 70%, kakkossijan jakajille jaetaan loppuosa 30%, eli 15% kummallekin.</t>
        </is>
      </c>
    </row>
    <row r="30" ht="6.75" customHeight="1"/>
    <row r="31" ht="18" customHeight="1">
      <c r="B31" s="33" t="inlineStr">
        <is>
          <t>Kehitysideoita saa laittaa alle</t>
        </is>
      </c>
    </row>
    <row r="32">
      <c r="B32" s="35" t="n"/>
    </row>
    <row r="33">
      <c r="B33" s="17" t="n"/>
    </row>
  </sheetData>
  <mergeCells count="1">
    <mergeCell ref="B11:N1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B1:T33"/>
  <sheetViews>
    <sheetView zoomScale="75" zoomScaleNormal="75" workbookViewId="0">
      <selection activeCell="V38" sqref="V38"/>
    </sheetView>
  </sheetViews>
  <sheetFormatPr baseColWidth="8" defaultRowHeight="12.75"/>
  <cols>
    <col width="16.140625" customWidth="1" min="1" max="1"/>
    <col width="10" customWidth="1" min="2" max="2"/>
    <col width="10.7109375" customWidth="1" min="3" max="3"/>
    <col width="10" customWidth="1" min="4" max="4"/>
    <col width="9" customWidth="1" min="5" max="5"/>
    <col width="10" customWidth="1" min="6" max="6"/>
    <col width="9.28515625" customWidth="1" min="7" max="7"/>
    <col width="10" customWidth="1" min="8" max="8"/>
  </cols>
  <sheetData>
    <row r="1" ht="18" customHeight="1">
      <c r="B1" s="11" t="n"/>
      <c r="C1" s="11" t="n"/>
      <c r="D1" s="11" t="n"/>
      <c r="E1" s="11" t="n"/>
      <c r="F1" s="11" t="n"/>
      <c r="G1" s="11" t="n"/>
      <c r="H1" s="11" t="n"/>
    </row>
    <row r="2" ht="18" customHeight="1">
      <c r="C2" s="11" t="n"/>
      <c r="D2" s="11" t="n"/>
      <c r="E2" s="11" t="n"/>
      <c r="F2" s="11" t="n"/>
      <c r="G2" s="11" t="n"/>
      <c r="H2" s="11" t="n"/>
      <c r="R2" s="5" t="inlineStr">
        <is>
          <t>KA</t>
        </is>
      </c>
      <c r="S2" s="5" t="inlineStr">
        <is>
          <t>Keskih</t>
        </is>
      </c>
      <c r="T2" s="5" t="n"/>
    </row>
    <row r="3" ht="26.25" customHeight="1">
      <c r="B3" s="10" t="n"/>
      <c r="C3" s="42">
        <f>Tulokset!D2</f>
        <v/>
      </c>
      <c r="D3" s="19" t="inlineStr">
        <is>
          <t>=Tulokset!F2</t>
        </is>
      </c>
      <c r="E3" s="19" t="inlineStr">
        <is>
          <t>=Tulokset!H2</t>
        </is>
      </c>
      <c r="F3" s="19" t="inlineStr">
        <is>
          <t>=Tulokset!J2</t>
        </is>
      </c>
      <c r="G3" s="19" t="inlineStr">
        <is>
          <t>=Tulokset!L2</t>
        </is>
      </c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32">
        <f>AVERAGE(C4:P4)</f>
        <v/>
      </c>
      <c r="S3" s="5">
        <f>STDEV(C4:P4)</f>
        <v/>
      </c>
      <c r="T3" s="5" t="n"/>
    </row>
    <row r="4">
      <c r="B4" s="16" t="n"/>
      <c r="C4" s="16">
        <f>Tulokset!E131</f>
        <v/>
      </c>
      <c r="D4" s="16">
        <f>Tulokset!G131</f>
        <v/>
      </c>
      <c r="E4" s="16">
        <f>Tulokset!I131</f>
        <v/>
      </c>
      <c r="F4" s="16">
        <f>Tulokset!K131</f>
        <v/>
      </c>
      <c r="G4" s="16">
        <f>Tulokset!M131</f>
        <v/>
      </c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B5" s="13" t="n"/>
    </row>
    <row r="6">
      <c r="B6" s="13" t="n"/>
    </row>
    <row r="7" ht="3.75" customHeight="1"/>
    <row r="8" ht="15" customHeight="1">
      <c r="B8" s="10" t="n"/>
    </row>
    <row r="9">
      <c r="B9" s="13" t="n"/>
    </row>
    <row r="10">
      <c r="B10" s="13" t="n"/>
    </row>
    <row r="11" ht="3.75" customHeight="1"/>
    <row r="12" ht="15" customHeight="1">
      <c r="B12" s="10" t="n"/>
      <c r="C12" s="5" t="n"/>
      <c r="D12" s="5" t="n"/>
      <c r="F12" s="5" t="n"/>
      <c r="G12" s="5" t="n"/>
      <c r="H12" s="5" t="n"/>
    </row>
    <row r="13">
      <c r="B13" s="13" t="n"/>
      <c r="C13" s="1" t="n"/>
      <c r="G13" s="1" t="n"/>
    </row>
    <row r="14">
      <c r="B14" s="13" t="n"/>
    </row>
    <row r="15">
      <c r="B15" s="13" t="n"/>
      <c r="E15" s="1" t="n"/>
    </row>
    <row r="16">
      <c r="B16" s="13" t="n"/>
    </row>
    <row r="17">
      <c r="B17" s="5" t="n"/>
    </row>
    <row r="18">
      <c r="B18" s="14" t="n"/>
    </row>
    <row r="19">
      <c r="B19" s="14" t="n"/>
    </row>
    <row r="20">
      <c r="B20" s="15" t="n"/>
    </row>
    <row r="21">
      <c r="B21" s="15" t="n"/>
    </row>
    <row r="23" ht="18" customHeight="1">
      <c r="B23" s="12" t="n"/>
    </row>
    <row r="24">
      <c r="B24" s="13" t="n"/>
    </row>
    <row r="25">
      <c r="B25" s="13" t="n"/>
    </row>
    <row r="26">
      <c r="B26" s="13" t="n"/>
    </row>
    <row r="27">
      <c r="B27" s="13" t="n"/>
    </row>
    <row r="28">
      <c r="B28" s="13" t="n"/>
    </row>
    <row r="29">
      <c r="B29" s="13" t="n"/>
    </row>
    <row r="30">
      <c r="B30" s="13" t="n"/>
    </row>
    <row r="31">
      <c r="B31" s="13" t="n"/>
    </row>
    <row r="33">
      <c r="B33" s="5" t="n"/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27"/>
  <sheetViews>
    <sheetView workbookViewId="0">
      <selection activeCell="L28" sqref="L28"/>
    </sheetView>
  </sheetViews>
  <sheetFormatPr baseColWidth="8" defaultRowHeight="12.75"/>
  <cols>
    <col width="12.42578125" customWidth="1" min="1" max="1"/>
    <col width="19" customWidth="1" min="2" max="4"/>
    <col width="17.42578125" bestFit="1" customWidth="1" min="5" max="6"/>
    <col width="14.140625" bestFit="1" customWidth="1" min="7" max="7"/>
    <col width="17.7109375" customWidth="1" min="8" max="8"/>
    <col width="15.140625" bestFit="1" customWidth="1" min="9" max="9"/>
    <col width="13.28515625" customWidth="1" min="10" max="10"/>
    <col width="16.7109375" bestFit="1" customWidth="1" min="12" max="12"/>
  </cols>
  <sheetData>
    <row r="2" ht="51" customHeight="1">
      <c r="B2" s="75" t="inlineStr">
        <is>
          <t>EM 2004 Portugal
1. GRE
2. POR</t>
        </is>
      </c>
      <c r="C2" s="75" t="inlineStr">
        <is>
          <t>MM 2006 Germany
1. ITA
2. FRA
3. GER</t>
        </is>
      </c>
      <c r="D2" s="75" t="inlineStr">
        <is>
          <t>EM 2008 AUS/SWI
1. SPA
2. GER</t>
        </is>
      </c>
      <c r="E2" s="75" t="inlineStr">
        <is>
          <t>MM 2010 S-Africa
1. SPA
2. NED
3. GER</t>
        </is>
      </c>
      <c r="F2" s="75" t="inlineStr">
        <is>
          <t>EM 2012 POL/UKR
1. SPA
2. ITA</t>
        </is>
      </c>
      <c r="G2" s="75" t="inlineStr">
        <is>
          <t>MM 2014 Brazil
1. GER
2. ARG
3. NED</t>
        </is>
      </c>
      <c r="H2" s="75" t="inlineStr">
        <is>
          <t>EM 2016 France
1. POR
2. FRA</t>
        </is>
      </c>
      <c r="I2" s="75" t="inlineStr">
        <is>
          <t>MM 2018 Russia
1. FRA
2. CRO
3. BEL</t>
        </is>
      </c>
      <c r="J2" s="75" t="inlineStr">
        <is>
          <t xml:space="preserve">EM 2020 
1. ITA
2. ENG
</t>
        </is>
      </c>
      <c r="K2" s="75" t="inlineStr">
        <is>
          <t>MM 2022</t>
        </is>
      </c>
      <c r="L2" s="75" t="inlineStr">
        <is>
          <t>EM 2024 Germany</t>
        </is>
      </c>
    </row>
    <row r="3">
      <c r="A3" t="inlineStr">
        <is>
          <t>Osallistujia</t>
        </is>
      </c>
      <c r="B3" s="76" t="n">
        <v>10</v>
      </c>
      <c r="C3" s="76" t="n">
        <v>24</v>
      </c>
      <c r="D3" s="76" t="n">
        <v>24</v>
      </c>
      <c r="E3" s="75" t="inlineStr">
        <is>
          <t>Ei</t>
        </is>
      </c>
      <c r="F3" s="76" t="n">
        <v>17</v>
      </c>
      <c r="G3" s="76" t="n">
        <v>16</v>
      </c>
      <c r="H3" s="76" t="n">
        <v>14</v>
      </c>
      <c r="I3" s="76" t="n">
        <v>20</v>
      </c>
      <c r="J3" s="76" t="n">
        <v>22</v>
      </c>
      <c r="K3" t="inlineStr">
        <is>
          <t>Ei</t>
        </is>
      </c>
    </row>
    <row r="4">
      <c r="A4" t="inlineStr">
        <is>
          <t>Voittaja</t>
        </is>
      </c>
      <c r="B4" t="inlineStr">
        <is>
          <t>LariL</t>
        </is>
      </c>
      <c r="C4" t="inlineStr">
        <is>
          <t>Pele</t>
        </is>
      </c>
      <c r="D4" t="inlineStr">
        <is>
          <t>Tarhonen</t>
        </is>
      </c>
      <c r="E4" t="inlineStr">
        <is>
          <t>veikkausta</t>
        </is>
      </c>
      <c r="F4" t="inlineStr">
        <is>
          <t>Ville/Tolvanen</t>
        </is>
      </c>
      <c r="G4" t="inlineStr">
        <is>
          <t>Pele</t>
        </is>
      </c>
      <c r="H4" t="inlineStr">
        <is>
          <t>Jype</t>
        </is>
      </c>
      <c r="I4" t="inlineStr">
        <is>
          <t>Tarhonen</t>
        </is>
      </c>
      <c r="J4" t="inlineStr">
        <is>
          <t>Jukka</t>
        </is>
      </c>
      <c r="K4" t="inlineStr">
        <is>
          <t>veikkausta</t>
        </is>
      </c>
    </row>
    <row r="5">
      <c r="A5" t="inlineStr">
        <is>
          <t>Kakkonen</t>
        </is>
      </c>
      <c r="B5" t="inlineStr">
        <is>
          <t>Jukka</t>
        </is>
      </c>
      <c r="C5" t="inlineStr">
        <is>
          <t>Kimmo/Hannu</t>
        </is>
      </c>
      <c r="D5" t="inlineStr">
        <is>
          <t>Kapa</t>
        </is>
      </c>
      <c r="G5" t="inlineStr">
        <is>
          <t>Aki</t>
        </is>
      </c>
      <c r="H5" t="inlineStr">
        <is>
          <t>Jere</t>
        </is>
      </c>
      <c r="I5" t="inlineStr">
        <is>
          <t>KimmoK</t>
        </is>
      </c>
      <c r="J5" t="inlineStr">
        <is>
          <t>Pete</t>
        </is>
      </c>
    </row>
    <row r="6">
      <c r="A6" t="inlineStr">
        <is>
          <t>Kolmonen</t>
        </is>
      </c>
      <c r="B6" t="inlineStr">
        <is>
          <t>TimoS</t>
        </is>
      </c>
      <c r="D6" t="inlineStr">
        <is>
          <t>Tommi/Ile/Wade/Pele</t>
        </is>
      </c>
      <c r="F6" t="inlineStr">
        <is>
          <t>J.Saimen</t>
        </is>
      </c>
      <c r="G6" t="inlineStr">
        <is>
          <t>Ville/Tolvanen</t>
        </is>
      </c>
      <c r="H6" t="inlineStr">
        <is>
          <t>Saku</t>
        </is>
      </c>
      <c r="I6" t="inlineStr">
        <is>
          <t>Karri</t>
        </is>
      </c>
      <c r="J6" t="inlineStr">
        <is>
          <t>Pele</t>
        </is>
      </c>
    </row>
    <row r="9">
      <c r="B9" t="inlineStr">
        <is>
          <t>Voitot</t>
        </is>
      </c>
      <c r="C9" t="inlineStr">
        <is>
          <t>2. sijat</t>
        </is>
      </c>
      <c r="D9" t="inlineStr">
        <is>
          <t>3. sijat</t>
        </is>
      </c>
    </row>
    <row r="10">
      <c r="A10" t="inlineStr">
        <is>
          <t>Pele</t>
        </is>
      </c>
      <c r="B10" s="1" t="n">
        <v>2</v>
      </c>
      <c r="C10" s="1" t="n">
        <v>0</v>
      </c>
      <c r="D10" s="1" t="n">
        <v>2</v>
      </c>
    </row>
    <row r="11">
      <c r="A11" t="inlineStr">
        <is>
          <t>Tarhonen</t>
        </is>
      </c>
      <c r="B11" s="1" t="n">
        <v>2</v>
      </c>
      <c r="C11" s="1" t="n">
        <v>0</v>
      </c>
      <c r="D11" s="1" t="n">
        <v>0</v>
      </c>
    </row>
    <row r="12">
      <c r="A12" t="inlineStr">
        <is>
          <t>JukkaM</t>
        </is>
      </c>
      <c r="B12" s="1" t="n">
        <v>1</v>
      </c>
      <c r="C12" s="1" t="n">
        <v>1</v>
      </c>
      <c r="D12" s="1" t="n">
        <v>0</v>
      </c>
    </row>
    <row r="13">
      <c r="A13" t="inlineStr">
        <is>
          <t>Villarineste</t>
        </is>
      </c>
      <c r="B13" s="1" t="n">
        <v>1</v>
      </c>
      <c r="C13" s="1" t="n">
        <v>0</v>
      </c>
      <c r="D13" s="1" t="n">
        <v>1</v>
      </c>
    </row>
    <row r="14">
      <c r="A14" t="inlineStr">
        <is>
          <t>Tolvanen</t>
        </is>
      </c>
      <c r="B14" s="1" t="n">
        <v>1</v>
      </c>
      <c r="C14" s="1" t="n">
        <v>0</v>
      </c>
      <c r="D14" s="1" t="n">
        <v>1</v>
      </c>
    </row>
    <row r="15">
      <c r="A15" t="inlineStr">
        <is>
          <t>Jype</t>
        </is>
      </c>
      <c r="B15" s="1" t="n">
        <v>1</v>
      </c>
      <c r="C15" s="1" t="n">
        <v>0</v>
      </c>
      <c r="D15" s="1" t="n">
        <v>0</v>
      </c>
    </row>
    <row r="16">
      <c r="A16" t="inlineStr">
        <is>
          <t>LariL</t>
        </is>
      </c>
      <c r="B16" s="1" t="n">
        <v>1</v>
      </c>
      <c r="C16" s="1" t="n">
        <v>0</v>
      </c>
      <c r="D16" s="1" t="n">
        <v>0</v>
      </c>
    </row>
    <row r="17">
      <c r="A17" t="inlineStr">
        <is>
          <t>KimmoK</t>
        </is>
      </c>
      <c r="B17" s="1" t="n">
        <v>0</v>
      </c>
      <c r="C17" s="1" t="n">
        <v>2</v>
      </c>
      <c r="D17" s="1" t="n">
        <v>0</v>
      </c>
    </row>
    <row r="18">
      <c r="A18" t="inlineStr">
        <is>
          <t>HannuM</t>
        </is>
      </c>
      <c r="B18" s="1" t="n">
        <v>0</v>
      </c>
      <c r="C18" s="1" t="n">
        <v>1</v>
      </c>
      <c r="D18" s="1" t="n">
        <v>0</v>
      </c>
    </row>
    <row r="19">
      <c r="A19" t="inlineStr">
        <is>
          <t>Kapa</t>
        </is>
      </c>
      <c r="B19" s="1" t="n">
        <v>0</v>
      </c>
      <c r="C19" s="1" t="n">
        <v>1</v>
      </c>
      <c r="D19" s="1" t="n">
        <v>0</v>
      </c>
    </row>
    <row r="20">
      <c r="A20" t="inlineStr">
        <is>
          <t>AkiK</t>
        </is>
      </c>
      <c r="B20" s="1" t="n">
        <v>0</v>
      </c>
      <c r="C20" s="1" t="n">
        <v>1</v>
      </c>
      <c r="D20" s="1" t="n">
        <v>0</v>
      </c>
    </row>
    <row r="21">
      <c r="A21" t="inlineStr">
        <is>
          <t>Jermupisto</t>
        </is>
      </c>
      <c r="B21" s="1" t="n">
        <v>0</v>
      </c>
      <c r="C21" s="1" t="n">
        <v>1</v>
      </c>
      <c r="D21" s="1" t="n">
        <v>0</v>
      </c>
    </row>
    <row r="22">
      <c r="A22" t="inlineStr">
        <is>
          <t>PeteM</t>
        </is>
      </c>
      <c r="B22" s="1" t="n">
        <v>0</v>
      </c>
      <c r="C22" s="1" t="n">
        <v>1</v>
      </c>
      <c r="D22" s="1" t="n">
        <v>0</v>
      </c>
    </row>
    <row r="23">
      <c r="A23" t="inlineStr">
        <is>
          <t>TimoS</t>
        </is>
      </c>
      <c r="B23" s="1" t="n">
        <v>0</v>
      </c>
      <c r="C23" s="1" t="n">
        <v>0</v>
      </c>
      <c r="D23" s="1" t="n">
        <v>1</v>
      </c>
    </row>
    <row r="24">
      <c r="A24" t="inlineStr">
        <is>
          <t>TommiT</t>
        </is>
      </c>
      <c r="B24" s="1" t="n">
        <v>0</v>
      </c>
      <c r="C24" s="1" t="n">
        <v>0</v>
      </c>
      <c r="D24" s="1" t="n">
        <v>1</v>
      </c>
    </row>
    <row r="25">
      <c r="A25" t="inlineStr">
        <is>
          <t>IleN</t>
        </is>
      </c>
      <c r="B25" s="1" t="n">
        <v>0</v>
      </c>
      <c r="C25" s="1" t="n">
        <v>0</v>
      </c>
      <c r="D25" s="1" t="n">
        <v>1</v>
      </c>
    </row>
    <row r="26">
      <c r="A26" t="inlineStr">
        <is>
          <t>Saku</t>
        </is>
      </c>
      <c r="B26" s="1" t="n">
        <v>0</v>
      </c>
      <c r="C26" s="1" t="n">
        <v>0</v>
      </c>
      <c r="D26" s="1" t="n">
        <v>1</v>
      </c>
    </row>
    <row r="27">
      <c r="A27" t="inlineStr">
        <is>
          <t>Karri</t>
        </is>
      </c>
      <c r="B27" s="1" t="n">
        <v>0</v>
      </c>
      <c r="C27" s="1" t="n">
        <v>0</v>
      </c>
      <c r="D27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Jyri-Pekka Multanen</dc:creator>
  <dcterms:created xsi:type="dcterms:W3CDTF">2006-05-10T19:04:16Z</dcterms:created>
  <dcterms:modified xsi:type="dcterms:W3CDTF">2026-06-08T19:22:49Z</dcterms:modified>
  <cp:lastModifiedBy>Jyri-Pekka Multanen</cp:lastModifiedBy>
  <cp:revision>1</cp:revision>
</cp:coreProperties>
</file>